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JD NVCC\Documents\Documents 2025-26\Master Reports\"/>
    </mc:Choice>
  </mc:AlternateContent>
  <xr:revisionPtr revIDLastSave="0" documentId="13_ncr:1_{74E34790-C545-4A4E-B5CB-111FF4102D2A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" l="1"/>
  <c r="I12" i="1"/>
  <c r="K10" i="1"/>
  <c r="K11" i="1"/>
  <c r="I10" i="1"/>
  <c r="I11" i="1"/>
  <c r="I9" i="1"/>
  <c r="K9" i="1" s="1"/>
  <c r="I5" i="1" l="1"/>
  <c r="I7" i="1" s="1"/>
  <c r="I6" i="1"/>
  <c r="K6" i="1" s="1"/>
  <c r="K5" i="1" l="1"/>
  <c r="K7" i="1" s="1"/>
  <c r="I2" i="1"/>
  <c r="K2" i="1" s="1"/>
  <c r="K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jivadayaclark</author>
  </authors>
  <commentList>
    <comment ref="D2" authorId="0" shapeId="0" xr:uid="{851AB3EC-1EB0-4531-8BFA-05739DC5F5FB}">
      <text>
        <r>
          <rPr>
            <b/>
            <sz val="9"/>
            <color indexed="81"/>
            <rFont val="Tahoma"/>
            <charset val="1"/>
          </rPr>
          <t>jivadayaclark:</t>
        </r>
        <r>
          <rPr>
            <sz val="9"/>
            <color indexed="81"/>
            <rFont val="Tahoma"/>
            <charset val="1"/>
          </rPr>
          <t xml:space="preserve">
By oversight quoted Rs. 18/ instead of Rs.25/- By RAD</t>
        </r>
      </text>
    </comment>
    <comment ref="E2" authorId="0" shapeId="0" xr:uid="{53418CCE-E5BA-4B53-AE63-B033D7F5B84F}">
      <text>
        <r>
          <rPr>
            <b/>
            <sz val="9"/>
            <color indexed="81"/>
            <rFont val="Tahoma"/>
            <family val="2"/>
          </rPr>
          <t>jivadayaclark: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<sst xmlns="http://schemas.openxmlformats.org/spreadsheetml/2006/main" count="57" uniqueCount="38">
  <si>
    <t>Sri Caitanyachandra Pr</t>
  </si>
  <si>
    <t>Veiha</t>
  </si>
  <si>
    <t>Shubha Krishna Pr</t>
  </si>
  <si>
    <t>5:50AM</t>
  </si>
  <si>
    <t>7:25PM</t>
  </si>
  <si>
    <t>Date</t>
  </si>
  <si>
    <t>Bookked by</t>
  </si>
  <si>
    <t>DEPARTMENT</t>
  </si>
  <si>
    <t>PURPOSE</t>
  </si>
  <si>
    <t>OUT READING</t>
  </si>
  <si>
    <t>IN READING</t>
  </si>
  <si>
    <t>DISTENCE</t>
  </si>
  <si>
    <t>CHARGES/KM</t>
  </si>
  <si>
    <t>USAGE CHARGE</t>
  </si>
  <si>
    <t>Drivers Name</t>
  </si>
  <si>
    <t>TIME OUT</t>
  </si>
  <si>
    <t>Time in</t>
  </si>
  <si>
    <t>sscp</t>
  </si>
  <si>
    <t>Manager</t>
  </si>
  <si>
    <t>Station</t>
  </si>
  <si>
    <t>Ramkrishna Vithal Pr</t>
  </si>
  <si>
    <t>3:50am</t>
  </si>
  <si>
    <t>5:30PM</t>
  </si>
  <si>
    <t>3:40am</t>
  </si>
  <si>
    <t>4:45am</t>
  </si>
  <si>
    <t>IDT No</t>
  </si>
  <si>
    <t>CV2025100439</t>
  </si>
  <si>
    <t>YUGAL Shyam Pr</t>
  </si>
  <si>
    <t>7:35am</t>
  </si>
  <si>
    <t>10:05am</t>
  </si>
  <si>
    <t>5:55pm</t>
  </si>
  <si>
    <t>7:10pm</t>
  </si>
  <si>
    <t>Pashan Centre</t>
  </si>
  <si>
    <t>Location</t>
  </si>
  <si>
    <t>Yuth Camp</t>
  </si>
  <si>
    <t>Daud Railway Station/Brahmachari</t>
  </si>
  <si>
    <t>6:30pm</t>
  </si>
  <si>
    <t>11:00pm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</si>
</sst>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2" borderId="1" xfId="0" applyNumberFormat="1" applyFill="1" applyBorder="1"/>
    <xf numFmtId="0" fontId="0" fillId="2" borderId="1" xfId="0" applyFill="1" applyBorder="1"/>
    <xf numFmtId="0" fontId="0" fillId="3" borderId="0" xfId="0" applyFill="1"/>
    <xf numFmtId="14" fontId="0" fillId="0" borderId="1" xfId="0" applyNumberFormat="1" applyBorder="1"/>
    <xf numFmtId="0" fontId="0" fillId="0" borderId="1" xfId="0" applyBorder="1"/>
    <xf numFmtId="0" fontId="0" fillId="4" borderId="0" xfId="0" applyFill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F24" sqref="F24"/>
    </sheetView>
  </sheetViews>
  <sheetFormatPr defaultRowHeight="15" x14ac:dyDescent="0.25"/>
  <cols>
    <col min="1" max="1" width="10.42578125" bestFit="1" customWidth="1"/>
    <col min="3" max="3" width="20.85546875" bestFit="1" customWidth="1"/>
    <col min="4" max="4" width="10.42578125" bestFit="1" customWidth="1"/>
    <col min="5" max="5" width="15.140625" bestFit="1" customWidth="1"/>
    <col min="6" max="6" width="32.140625" bestFit="1" customWidth="1"/>
    <col min="7" max="7" width="13.28515625" bestFit="1" customWidth="1"/>
    <col min="8" max="8" width="11.42578125" bestFit="1" customWidth="1"/>
    <col min="10" max="10" width="12.85546875" bestFit="1" customWidth="1"/>
    <col min="11" max="11" width="14.5703125" bestFit="1" customWidth="1"/>
    <col min="12" max="12" width="19.5703125" bestFit="1" customWidth="1"/>
    <col min="13" max="13" width="9.42578125" bestFit="1" customWidth="1"/>
    <col min="15" max="15" width="14.140625" customWidth="1"/>
  </cols>
  <sheetData>
    <row r="1" spans="1:15" s="6" customFormat="1" x14ac:dyDescent="0.25">
      <c r="A1" s="6" t="s">
        <v>5</v>
      </c>
      <c r="C1" s="6" t="s">
        <v>6</v>
      </c>
      <c r="D1" s="6" t="s">
        <v>8</v>
      </c>
      <c r="E1" s="6" t="s">
        <v>7</v>
      </c>
      <c r="F1" s="6" t="s">
        <v>33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25</v>
      </c>
    </row>
    <row r="2" spans="1:15" x14ac:dyDescent="0.25">
      <c r="A2" s="1">
        <v>45934</v>
      </c>
      <c r="B2" s="2"/>
      <c r="C2" s="2" t="s">
        <v>0</v>
      </c>
      <c r="D2" s="2" t="s">
        <v>34</v>
      </c>
      <c r="E2" s="2" t="s">
        <v>32</v>
      </c>
      <c r="F2" s="2" t="s">
        <v>1</v>
      </c>
      <c r="G2" s="2">
        <v>45918</v>
      </c>
      <c r="H2" s="2">
        <v>46060</v>
      </c>
      <c r="I2" s="2">
        <f t="shared" ref="I2:I6" si="0">H2-G2</f>
        <v>142</v>
      </c>
      <c r="J2" s="2">
        <v>18</v>
      </c>
      <c r="K2" s="2">
        <f>I2*J2</f>
        <v>2556</v>
      </c>
      <c r="L2" s="2" t="s">
        <v>2</v>
      </c>
      <c r="M2" s="2" t="s">
        <v>3</v>
      </c>
      <c r="N2" s="2" t="s">
        <v>4</v>
      </c>
      <c r="O2" s="2"/>
    </row>
    <row r="3" spans="1:15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>
        <f>SUM(K2)</f>
        <v>2556</v>
      </c>
      <c r="L3" s="5"/>
      <c r="M3" s="5"/>
      <c r="N3" s="5"/>
    </row>
    <row r="4" spans="1:15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5" x14ac:dyDescent="0.25">
      <c r="A5" s="1">
        <v>45947</v>
      </c>
      <c r="B5" s="2"/>
      <c r="C5" s="2" t="s">
        <v>17</v>
      </c>
      <c r="D5" s="2"/>
      <c r="E5" s="2" t="s">
        <v>18</v>
      </c>
      <c r="F5" s="2" t="s">
        <v>19</v>
      </c>
      <c r="G5" s="2">
        <v>46241</v>
      </c>
      <c r="H5" s="2">
        <v>46264</v>
      </c>
      <c r="I5" s="2">
        <f t="shared" si="0"/>
        <v>23</v>
      </c>
      <c r="J5" s="2">
        <v>28</v>
      </c>
      <c r="K5" s="2">
        <f t="shared" ref="K5:K6" si="1">I5*J5</f>
        <v>644</v>
      </c>
      <c r="L5" s="2" t="s">
        <v>20</v>
      </c>
      <c r="M5" s="2" t="s">
        <v>21</v>
      </c>
      <c r="N5" s="2" t="s">
        <v>22</v>
      </c>
    </row>
    <row r="6" spans="1:15" x14ac:dyDescent="0.25">
      <c r="A6" s="1">
        <v>45947</v>
      </c>
      <c r="B6" s="2"/>
      <c r="C6" s="2" t="s">
        <v>17</v>
      </c>
      <c r="D6" s="2"/>
      <c r="E6" s="2" t="s">
        <v>18</v>
      </c>
      <c r="F6" s="2" t="s">
        <v>19</v>
      </c>
      <c r="G6" s="2">
        <v>46274</v>
      </c>
      <c r="H6" s="2">
        <v>46295</v>
      </c>
      <c r="I6" s="2">
        <f t="shared" si="0"/>
        <v>21</v>
      </c>
      <c r="J6" s="2">
        <v>28</v>
      </c>
      <c r="K6" s="2">
        <f t="shared" si="1"/>
        <v>588</v>
      </c>
      <c r="L6" s="2" t="s">
        <v>20</v>
      </c>
      <c r="M6" s="2" t="s">
        <v>23</v>
      </c>
      <c r="N6" s="2" t="s">
        <v>24</v>
      </c>
    </row>
    <row r="7" spans="1:15" x14ac:dyDescent="0.25">
      <c r="A7" s="3"/>
      <c r="B7" s="3"/>
      <c r="C7" s="3"/>
      <c r="D7" s="3"/>
      <c r="E7" s="3"/>
      <c r="F7" s="3"/>
      <c r="G7" s="3"/>
      <c r="H7" s="3"/>
      <c r="I7" s="3">
        <f>SUM(I5:I6)</f>
        <v>44</v>
      </c>
      <c r="J7" s="3"/>
      <c r="K7" s="3">
        <f>SUM(K5:K6)</f>
        <v>1232</v>
      </c>
      <c r="L7" s="3"/>
      <c r="M7" s="3"/>
      <c r="N7" s="3"/>
      <c r="O7" s="3" t="s">
        <v>26</v>
      </c>
    </row>
    <row r="9" spans="1:15" x14ac:dyDescent="0.25">
      <c r="A9" s="1">
        <v>45919</v>
      </c>
      <c r="B9" s="2"/>
      <c r="C9" s="2" t="s">
        <v>27</v>
      </c>
      <c r="D9" s="2"/>
      <c r="E9" s="2" t="s">
        <v>18</v>
      </c>
      <c r="F9" s="2" t="s">
        <v>19</v>
      </c>
      <c r="G9" s="2">
        <v>45596</v>
      </c>
      <c r="H9" s="2">
        <v>45616</v>
      </c>
      <c r="I9" s="2">
        <f t="shared" ref="I9:I12" si="2">H9-G9</f>
        <v>20</v>
      </c>
      <c r="J9" s="2">
        <v>28</v>
      </c>
      <c r="K9" s="2">
        <f t="shared" ref="K9:K12" si="3">I9*J9</f>
        <v>560</v>
      </c>
      <c r="L9" s="2" t="s">
        <v>20</v>
      </c>
      <c r="M9" s="2" t="s">
        <v>28</v>
      </c>
      <c r="N9" s="2" t="s">
        <v>29</v>
      </c>
    </row>
    <row r="10" spans="1:15" x14ac:dyDescent="0.25">
      <c r="A10" s="1">
        <v>45948</v>
      </c>
      <c r="B10" s="2"/>
      <c r="C10" s="2"/>
      <c r="D10" s="2"/>
      <c r="E10" s="2" t="s">
        <v>18</v>
      </c>
      <c r="F10" s="2" t="s">
        <v>19</v>
      </c>
      <c r="G10" s="2">
        <v>46274</v>
      </c>
      <c r="H10" s="2">
        <v>46295</v>
      </c>
      <c r="I10" s="2">
        <f t="shared" si="2"/>
        <v>21</v>
      </c>
      <c r="J10" s="2">
        <v>28</v>
      </c>
      <c r="K10" s="2">
        <f t="shared" si="3"/>
        <v>588</v>
      </c>
      <c r="L10" s="2" t="s">
        <v>20</v>
      </c>
      <c r="M10" s="2" t="s">
        <v>23</v>
      </c>
      <c r="N10" s="2" t="s">
        <v>24</v>
      </c>
    </row>
    <row r="11" spans="1:15" x14ac:dyDescent="0.25">
      <c r="A11" s="1">
        <v>45958</v>
      </c>
      <c r="B11" s="2"/>
      <c r="C11" s="2" t="s">
        <v>17</v>
      </c>
      <c r="D11" s="2"/>
      <c r="E11" s="2" t="s">
        <v>18</v>
      </c>
      <c r="F11" s="2" t="s">
        <v>19</v>
      </c>
      <c r="G11" s="2">
        <v>46295</v>
      </c>
      <c r="H11" s="2">
        <v>46319</v>
      </c>
      <c r="I11" s="2">
        <f t="shared" si="2"/>
        <v>24</v>
      </c>
      <c r="J11" s="2">
        <v>28</v>
      </c>
      <c r="K11" s="2">
        <f t="shared" si="3"/>
        <v>672</v>
      </c>
      <c r="L11" s="2" t="s">
        <v>2</v>
      </c>
      <c r="M11" s="2" t="s">
        <v>30</v>
      </c>
      <c r="N11" s="2" t="s">
        <v>31</v>
      </c>
    </row>
    <row r="12" spans="1:15" x14ac:dyDescent="0.25">
      <c r="A12" s="1">
        <v>45961</v>
      </c>
      <c r="B12" s="2"/>
      <c r="C12" s="2" t="s">
        <v>17</v>
      </c>
      <c r="D12" s="2"/>
      <c r="E12" s="7" t="s">
        <v>18</v>
      </c>
      <c r="F12" s="2" t="s">
        <v>35</v>
      </c>
      <c r="G12" s="2">
        <v>46319</v>
      </c>
      <c r="H12" s="2">
        <v>46490</v>
      </c>
      <c r="I12" s="2">
        <f t="shared" si="2"/>
        <v>171</v>
      </c>
      <c r="J12" s="2">
        <v>28</v>
      </c>
      <c r="K12" s="2">
        <f t="shared" si="3"/>
        <v>4788</v>
      </c>
      <c r="L12" s="2" t="s">
        <v>2</v>
      </c>
      <c r="M12" s="7" t="s">
        <v>36</v>
      </c>
      <c r="N12" s="7" t="s">
        <v>37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jivadayaclark</dc:creator>
  <cp:lastModifiedBy>jivadayaclark</cp:lastModifiedBy>
  <dcterms:created xsi:type="dcterms:W3CDTF">2015-06-05T18:17:20Z</dcterms:created>
  <dcterms:modified xsi:type="dcterms:W3CDTF">2025-11-05T03:39:44Z</dcterms:modified>
</cp:coreProperties>
</file>