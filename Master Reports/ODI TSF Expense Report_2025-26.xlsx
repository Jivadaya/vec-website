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JD NVCC\Documents\Documents 2025-26\Master Reports\"/>
    </mc:Choice>
  </mc:AlternateContent>
  <bookViews>
    <workbookView xWindow="0" yWindow="0" windowWidth="20490" windowHeight="7755"/>
  </bookViews>
  <sheets>
    <sheet name="RVC TSKP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6" i="1" l="1"/>
  <c r="H43" i="1" l="1"/>
  <c r="G43" i="1"/>
  <c r="G44" i="1"/>
  <c r="H44" i="1" s="1"/>
  <c r="H42" i="1"/>
  <c r="G42" i="1"/>
  <c r="M25" i="1" l="1"/>
  <c r="D39" i="1" l="1"/>
  <c r="H12" i="1" l="1"/>
  <c r="H16" i="1"/>
  <c r="H5" i="1"/>
  <c r="H6" i="1"/>
  <c r="H8" i="1"/>
  <c r="H9" i="1"/>
  <c r="H10" i="1"/>
  <c r="N5" i="1" l="1"/>
  <c r="G3" i="1"/>
  <c r="H3" i="1" s="1"/>
  <c r="G4" i="1"/>
  <c r="H4" i="1" s="1"/>
  <c r="G27" i="2" l="1"/>
  <c r="G28" i="2" s="1"/>
  <c r="N8" i="1"/>
  <c r="N9" i="1"/>
  <c r="N12" i="1"/>
  <c r="N22" i="1"/>
  <c r="N23" i="1"/>
  <c r="G20" i="1" l="1"/>
  <c r="G21" i="1"/>
  <c r="H21" i="1" s="1"/>
  <c r="N21" i="1" s="1"/>
  <c r="G24" i="1"/>
  <c r="H24" i="1" s="1"/>
  <c r="H20" i="1" l="1"/>
  <c r="N20" i="1" s="1"/>
  <c r="G19" i="1"/>
  <c r="G18" i="1"/>
  <c r="G15" i="1"/>
  <c r="G14" i="1"/>
  <c r="H14" i="1" s="1"/>
  <c r="G13" i="1"/>
  <c r="G11" i="1"/>
  <c r="G17" i="1"/>
  <c r="H11" i="1" l="1"/>
  <c r="N11" i="1" s="1"/>
  <c r="H18" i="1"/>
  <c r="N18" i="1" s="1"/>
  <c r="H17" i="1"/>
  <c r="N17" i="1" s="1"/>
  <c r="H13" i="1"/>
  <c r="N13" i="1" s="1"/>
  <c r="H15" i="1"/>
  <c r="N15" i="1" s="1"/>
  <c r="H19" i="1"/>
  <c r="N19" i="1" s="1"/>
  <c r="N14" i="1"/>
  <c r="N10" i="1"/>
  <c r="G7" i="1"/>
  <c r="N4" i="1"/>
  <c r="H7" i="1" l="1"/>
  <c r="N7" i="1" s="1"/>
  <c r="G25" i="1" l="1"/>
  <c r="H2" i="1"/>
  <c r="H25" i="1" s="1"/>
  <c r="N2" i="1" l="1"/>
  <c r="N25" i="1" s="1"/>
  <c r="O28" i="1" s="1"/>
  <c r="O30" i="1" s="1"/>
  <c r="O33" i="1" s="1"/>
  <c r="O34" i="1" s="1"/>
</calcChain>
</file>

<file path=xl/sharedStrings.xml><?xml version="1.0" encoding="utf-8"?>
<sst xmlns="http://schemas.openxmlformats.org/spreadsheetml/2006/main" count="89" uniqueCount="66">
  <si>
    <t>Sr.No</t>
  </si>
  <si>
    <t>Date</t>
  </si>
  <si>
    <t>Out Reading</t>
  </si>
  <si>
    <t>In Reading</t>
  </si>
  <si>
    <t>Driver Charges</t>
  </si>
  <si>
    <t>No. of hours</t>
  </si>
  <si>
    <t>Vehicle Used</t>
  </si>
  <si>
    <t>Available Balance</t>
  </si>
  <si>
    <t>Total Expense</t>
  </si>
  <si>
    <t>SB Number</t>
  </si>
  <si>
    <t>Month</t>
  </si>
  <si>
    <t>Amount used in challan</t>
  </si>
  <si>
    <t>Vehicle Usage Charges</t>
  </si>
  <si>
    <t>Total Distance</t>
  </si>
  <si>
    <t>Score Deducted</t>
  </si>
  <si>
    <t>Score Announced</t>
  </si>
  <si>
    <t>BD Score</t>
  </si>
  <si>
    <t xml:space="preserve">746 &amp; 744 </t>
  </si>
  <si>
    <t>Feb</t>
  </si>
  <si>
    <t>Mar</t>
  </si>
  <si>
    <t>Challan Number</t>
  </si>
  <si>
    <t>301202502060 , 301202502061</t>
  </si>
  <si>
    <t>Apr</t>
  </si>
  <si>
    <t>1580 &amp; 1649</t>
  </si>
  <si>
    <t>May</t>
  </si>
  <si>
    <t>1824 &amp; 1846</t>
  </si>
  <si>
    <t>June</t>
  </si>
  <si>
    <t>301202505069 , 301202506007</t>
  </si>
  <si>
    <t>July</t>
  </si>
  <si>
    <t>Sri narada Sankirtan</t>
  </si>
  <si>
    <t>SPK Bus</t>
  </si>
  <si>
    <t>Garuda + Ertiga</t>
  </si>
  <si>
    <t>August</t>
  </si>
  <si>
    <t>Old challan Settled</t>
  </si>
  <si>
    <t>IDT NO - CV2025030313</t>
  </si>
  <si>
    <t xml:space="preserve">BALANCE </t>
  </si>
  <si>
    <t xml:space="preserve"> TO BE USED FOR EXPENSES.</t>
  </si>
  <si>
    <t>arc gazrba society</t>
  </si>
  <si>
    <t>1894 &amp; 1921</t>
  </si>
  <si>
    <t>13.04.25</t>
  </si>
  <si>
    <t>20.04.25</t>
  </si>
  <si>
    <t>11.05.25</t>
  </si>
  <si>
    <t>15.06.25</t>
  </si>
  <si>
    <t>22.06.25</t>
  </si>
  <si>
    <t>06.07.25</t>
  </si>
  <si>
    <t>13.07.25</t>
  </si>
  <si>
    <t>10.08.25</t>
  </si>
  <si>
    <t>09.02.25</t>
  </si>
  <si>
    <t>02.03.25</t>
  </si>
  <si>
    <t>23.03.25</t>
  </si>
  <si>
    <t>Fuel filled by Amit t Pr</t>
  </si>
  <si>
    <t>Available Amount</t>
  </si>
  <si>
    <t xml:space="preserve">Total Expense </t>
  </si>
  <si>
    <t>Balance Amount</t>
  </si>
  <si>
    <t>Total Exp- challan + Bus</t>
  </si>
  <si>
    <t>Less Fuel filled    -</t>
  </si>
  <si>
    <t>14.09.25</t>
  </si>
  <si>
    <t>02.10.25</t>
  </si>
  <si>
    <t>12.10.25</t>
  </si>
  <si>
    <t>Garuda +</t>
  </si>
  <si>
    <t>saswad</t>
  </si>
  <si>
    <t>Shivapur, shindewadi</t>
  </si>
  <si>
    <t>Silwar</t>
  </si>
  <si>
    <t xml:space="preserve">local 5 km </t>
  </si>
  <si>
    <t xml:space="preserve"> khadakwasla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</si>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</sst>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08">
    <xf numFmtId="0" fontId="0" fillId="0" borderId="0" xfId="0"/>
    <xf numFmtId="0" fontId="0" fillId="0" borderId="2" xfId="0" applyBorder="1"/>
    <xf numFmtId="0" fontId="0" fillId="0" borderId="6" xfId="0" applyBorder="1"/>
    <xf numFmtId="0" fontId="1" fillId="0" borderId="0" xfId="0" applyFont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6" borderId="10" xfId="0" applyFill="1" applyBorder="1"/>
    <xf numFmtId="0" fontId="0" fillId="6" borderId="2" xfId="0" applyFill="1" applyBorder="1"/>
    <xf numFmtId="0" fontId="0" fillId="6" borderId="4" xfId="0" applyFill="1" applyBorder="1"/>
    <xf numFmtId="0" fontId="0" fillId="6" borderId="11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10" xfId="0" applyFill="1" applyBorder="1"/>
    <xf numFmtId="0" fontId="0" fillId="7" borderId="4" xfId="0" applyFill="1" applyBorder="1"/>
    <xf numFmtId="0" fontId="0" fillId="7" borderId="11" xfId="0" applyFill="1" applyBorder="1"/>
    <xf numFmtId="0" fontId="0" fillId="7" borderId="7" xfId="0" applyFill="1" applyBorder="1"/>
    <xf numFmtId="0" fontId="0" fillId="8" borderId="10" xfId="0" applyFill="1" applyBorder="1"/>
    <xf numFmtId="0" fontId="0" fillId="8" borderId="4" xfId="0" applyFill="1" applyBorder="1"/>
    <xf numFmtId="0" fontId="0" fillId="8" borderId="11" xfId="0" applyFill="1" applyBorder="1"/>
    <xf numFmtId="0" fontId="0" fillId="8" borderId="7" xfId="0" applyFill="1" applyBorder="1"/>
    <xf numFmtId="14" fontId="0" fillId="0" borderId="12" xfId="0" applyNumberFormat="1" applyBorder="1"/>
    <xf numFmtId="0" fontId="0" fillId="0" borderId="13" xfId="0" applyBorder="1"/>
    <xf numFmtId="0" fontId="0" fillId="6" borderId="14" xfId="0" applyFill="1" applyBorder="1"/>
    <xf numFmtId="0" fontId="0" fillId="6" borderId="12" xfId="0" applyFill="1" applyBorder="1"/>
    <xf numFmtId="0" fontId="0" fillId="6" borderId="15" xfId="0" applyFill="1" applyBorder="1"/>
    <xf numFmtId="0" fontId="0" fillId="7" borderId="14" xfId="0" applyFill="1" applyBorder="1"/>
    <xf numFmtId="0" fontId="0" fillId="7" borderId="15" xfId="0" applyFill="1" applyBorder="1"/>
    <xf numFmtId="0" fontId="0" fillId="8" borderId="15" xfId="0" applyFill="1" applyBorder="1"/>
    <xf numFmtId="0" fontId="0" fillId="0" borderId="14" xfId="0" applyBorder="1"/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0" fillId="10" borderId="14" xfId="0" applyFill="1" applyBorder="1"/>
    <xf numFmtId="0" fontId="0" fillId="10" borderId="15" xfId="0" applyFill="1" applyBorder="1"/>
    <xf numFmtId="0" fontId="0" fillId="10" borderId="10" xfId="0" applyFill="1" applyBorder="1"/>
    <xf numFmtId="0" fontId="0" fillId="10" borderId="4" xfId="0" applyFill="1" applyBorder="1"/>
    <xf numFmtId="0" fontId="0" fillId="10" borderId="11" xfId="0" applyFill="1" applyBorder="1"/>
    <xf numFmtId="0" fontId="0" fillId="10" borderId="7" xfId="0" applyFill="1" applyBorder="1"/>
    <xf numFmtId="0" fontId="1" fillId="9" borderId="2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0" fillId="10" borderId="22" xfId="0" applyFill="1" applyBorder="1"/>
    <xf numFmtId="0" fontId="0" fillId="10" borderId="23" xfId="0" applyFill="1" applyBorder="1"/>
    <xf numFmtId="14" fontId="0" fillId="0" borderId="2" xfId="0" applyNumberFormat="1" applyBorder="1"/>
    <xf numFmtId="0" fontId="0" fillId="8" borderId="22" xfId="0" applyFill="1" applyBorder="1"/>
    <xf numFmtId="0" fontId="0" fillId="8" borderId="23" xfId="0" applyFill="1" applyBorder="1"/>
    <xf numFmtId="1" fontId="0" fillId="8" borderId="15" xfId="0" applyNumberFormat="1" applyFill="1" applyBorder="1"/>
    <xf numFmtId="1" fontId="0" fillId="8" borderId="22" xfId="0" applyNumberFormat="1" applyFill="1" applyBorder="1"/>
    <xf numFmtId="1" fontId="0" fillId="8" borderId="23" xfId="0" applyNumberFormat="1" applyFill="1" applyBorder="1"/>
    <xf numFmtId="0" fontId="0" fillId="6" borderId="24" xfId="0" applyFill="1" applyBorder="1"/>
    <xf numFmtId="0" fontId="0" fillId="6" borderId="26" xfId="0" applyFill="1" applyBorder="1"/>
    <xf numFmtId="0" fontId="0" fillId="7" borderId="26" xfId="0" applyFill="1" applyBorder="1"/>
    <xf numFmtId="0" fontId="0" fillId="10" borderId="25" xfId="0" applyFill="1" applyBorder="1"/>
    <xf numFmtId="0" fontId="0" fillId="10" borderId="27" xfId="0" applyFill="1" applyBorder="1"/>
    <xf numFmtId="0" fontId="0" fillId="10" borderId="26" xfId="0" applyFill="1" applyBorder="1"/>
    <xf numFmtId="0" fontId="2" fillId="8" borderId="4" xfId="0" applyFont="1" applyFill="1" applyBorder="1"/>
    <xf numFmtId="14" fontId="0" fillId="0" borderId="12" xfId="0" applyNumberFormat="1" applyBorder="1" applyAlignment="1">
      <alignment horizontal="center"/>
    </xf>
    <xf numFmtId="0" fontId="0" fillId="8" borderId="25" xfId="0" applyFill="1" applyBorder="1"/>
    <xf numFmtId="1" fontId="0" fillId="8" borderId="27" xfId="0" applyNumberFormat="1" applyFill="1" applyBorder="1"/>
    <xf numFmtId="0" fontId="0" fillId="6" borderId="28" xfId="0" applyFill="1" applyBorder="1"/>
    <xf numFmtId="0" fontId="0" fillId="6" borderId="29" xfId="0" applyFill="1" applyBorder="1"/>
    <xf numFmtId="0" fontId="0" fillId="0" borderId="12" xfId="0" applyBorder="1"/>
    <xf numFmtId="0" fontId="0" fillId="0" borderId="15" xfId="0" applyBorder="1"/>
    <xf numFmtId="0" fontId="0" fillId="7" borderId="29" xfId="0" applyFill="1" applyBorder="1"/>
    <xf numFmtId="0" fontId="0" fillId="7" borderId="30" xfId="0" applyFill="1" applyBorder="1"/>
    <xf numFmtId="0" fontId="0" fillId="11" borderId="15" xfId="0" applyFill="1" applyBorder="1"/>
    <xf numFmtId="1" fontId="0" fillId="11" borderId="15" xfId="0" applyNumberFormat="1" applyFill="1" applyBorder="1"/>
    <xf numFmtId="0" fontId="1" fillId="0" borderId="0" xfId="0" applyFont="1"/>
    <xf numFmtId="0" fontId="0" fillId="8" borderId="31" xfId="0" applyFill="1" applyBorder="1"/>
    <xf numFmtId="0" fontId="0" fillId="11" borderId="31" xfId="0" applyFill="1" applyBorder="1"/>
    <xf numFmtId="164" fontId="2" fillId="8" borderId="7" xfId="1" applyFont="1" applyFill="1" applyBorder="1"/>
    <xf numFmtId="0" fontId="0" fillId="12" borderId="0" xfId="0" applyFill="1"/>
    <xf numFmtId="164" fontId="0" fillId="12" borderId="0" xfId="0" applyNumberFormat="1" applyFill="1"/>
    <xf numFmtId="164" fontId="1" fillId="0" borderId="0" xfId="1" applyFont="1"/>
    <xf numFmtId="0" fontId="0" fillId="8" borderId="15" xfId="0" applyFill="1" applyBorder="1" applyAlignment="1">
      <alignment horizontal="left"/>
    </xf>
    <xf numFmtId="0" fontId="0" fillId="8" borderId="10" xfId="0" applyFill="1" applyBorder="1" applyAlignment="1">
      <alignment horizontal="left"/>
    </xf>
    <xf numFmtId="0" fontId="0" fillId="8" borderId="11" xfId="0" applyFill="1" applyBorder="1" applyAlignment="1">
      <alignment horizontal="left"/>
    </xf>
    <xf numFmtId="0" fontId="0" fillId="11" borderId="15" xfId="0" applyFill="1" applyBorder="1" applyAlignment="1">
      <alignment horizontal="left"/>
    </xf>
    <xf numFmtId="0" fontId="0" fillId="8" borderId="25" xfId="0" applyFill="1" applyBorder="1" applyAlignment="1">
      <alignment horizontal="left"/>
    </xf>
    <xf numFmtId="0" fontId="4" fillId="0" borderId="0" xfId="0" applyFont="1"/>
    <xf numFmtId="0" fontId="4" fillId="0" borderId="32" xfId="0" applyFont="1" applyBorder="1"/>
    <xf numFmtId="0" fontId="0" fillId="13" borderId="0" xfId="0" applyFill="1"/>
    <xf numFmtId="0" fontId="1" fillId="13" borderId="0" xfId="0" applyFont="1" applyFill="1"/>
    <xf numFmtId="0" fontId="0" fillId="4" borderId="0" xfId="0" applyFill="1"/>
    <xf numFmtId="0" fontId="5" fillId="4" borderId="0" xfId="0" applyFont="1" applyFill="1"/>
    <xf numFmtId="0" fontId="0" fillId="14" borderId="2" xfId="0" applyFill="1" applyBorder="1"/>
    <xf numFmtId="0" fontId="1" fillId="14" borderId="2" xfId="0" applyFont="1" applyFill="1" applyBorder="1"/>
    <xf numFmtId="0" fontId="0" fillId="0" borderId="0" xfId="0" applyFill="1" applyBorder="1"/>
    <xf numFmtId="0" fontId="0" fillId="0" borderId="0" xfId="0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abSelected="1" workbookViewId="0">
      <pane ySplit="1" topLeftCell="A29" activePane="bottomLeft" state="frozen"/>
      <selection pane="bottomLeft" activeCell="N44" sqref="N44"/>
    </sheetView>
  </sheetViews>
  <sheetFormatPr defaultRowHeight="15" x14ac:dyDescent="0.25"/>
  <cols>
    <col min="1" max="1" width="5.42578125" customWidth="1"/>
    <col min="2" max="2" width="12" customWidth="1"/>
    <col min="3" max="3" width="11.42578125" customWidth="1"/>
    <col min="4" max="4" width="20.140625" customWidth="1"/>
    <col min="5" max="5" width="10.85546875" customWidth="1"/>
    <col min="6" max="6" width="9.5703125" customWidth="1"/>
    <col min="7" max="7" width="9.42578125" customWidth="1"/>
    <col min="8" max="8" width="12.5703125" customWidth="1"/>
    <col min="9" max="9" width="7.7109375" customWidth="1"/>
    <col min="10" max="10" width="8" bestFit="1" customWidth="1"/>
    <col min="11" max="11" width="16.42578125" customWidth="1"/>
    <col min="12" max="12" width="18" customWidth="1"/>
    <col min="13" max="13" width="14.85546875" customWidth="1"/>
    <col min="14" max="14" width="15.85546875" customWidth="1"/>
    <col min="15" max="15" width="16" customWidth="1"/>
    <col min="16" max="17" width="10.5703125" customWidth="1"/>
    <col min="18" max="18" width="11.42578125" customWidth="1"/>
  </cols>
  <sheetData>
    <row r="1" spans="1:19" s="3" customFormat="1" ht="45.75" thickBot="1" x14ac:dyDescent="0.3">
      <c r="A1" s="31" t="s">
        <v>0</v>
      </c>
      <c r="B1" s="32" t="s">
        <v>10</v>
      </c>
      <c r="C1" s="33" t="s">
        <v>1</v>
      </c>
      <c r="D1" s="34" t="s">
        <v>6</v>
      </c>
      <c r="E1" s="35" t="s">
        <v>2</v>
      </c>
      <c r="F1" s="36" t="s">
        <v>3</v>
      </c>
      <c r="G1" s="37" t="s">
        <v>13</v>
      </c>
      <c r="H1" s="38" t="s">
        <v>12</v>
      </c>
      <c r="I1" s="39" t="s">
        <v>5</v>
      </c>
      <c r="J1" s="40" t="s">
        <v>4</v>
      </c>
      <c r="K1" s="41" t="s">
        <v>20</v>
      </c>
      <c r="L1" s="41" t="s">
        <v>9</v>
      </c>
      <c r="M1" s="42" t="s">
        <v>11</v>
      </c>
      <c r="N1" s="31" t="s">
        <v>8</v>
      </c>
      <c r="O1" s="43" t="s">
        <v>7</v>
      </c>
      <c r="P1" s="44" t="s">
        <v>16</v>
      </c>
      <c r="Q1" s="52" t="s">
        <v>14</v>
      </c>
      <c r="R1" s="45" t="s">
        <v>15</v>
      </c>
    </row>
    <row r="2" spans="1:19" x14ac:dyDescent="0.25">
      <c r="A2" s="102">
        <v>1</v>
      </c>
      <c r="B2" s="104" t="s">
        <v>18</v>
      </c>
      <c r="C2" s="22">
        <v>45697</v>
      </c>
      <c r="D2" s="23" t="s">
        <v>29</v>
      </c>
      <c r="E2" s="24"/>
      <c r="F2" s="25"/>
      <c r="G2" s="25">
        <v>30</v>
      </c>
      <c r="H2" s="26">
        <f>G2*25</f>
        <v>750</v>
      </c>
      <c r="I2" s="27">
        <v>12</v>
      </c>
      <c r="J2" s="28"/>
      <c r="K2" s="87" t="s">
        <v>17</v>
      </c>
      <c r="L2" s="29" t="s">
        <v>21</v>
      </c>
      <c r="M2" s="29">
        <v>27167</v>
      </c>
      <c r="N2" s="30">
        <f>J2+H2+M2</f>
        <v>27917</v>
      </c>
      <c r="O2" s="23">
        <v>570000</v>
      </c>
      <c r="P2" s="46"/>
      <c r="Q2" s="53"/>
      <c r="R2" s="47"/>
      <c r="S2" t="s">
        <v>64</v>
      </c>
    </row>
    <row r="3" spans="1:19" x14ac:dyDescent="0.25">
      <c r="A3" s="102"/>
      <c r="B3" s="105"/>
      <c r="C3" s="1"/>
      <c r="D3" s="4"/>
      <c r="E3" s="8"/>
      <c r="F3" s="9"/>
      <c r="G3" s="25">
        <f t="shared" ref="G3:G4" si="0">F3-E3</f>
        <v>0</v>
      </c>
      <c r="H3" s="26">
        <f t="shared" ref="H3:H20" si="1">G3*25</f>
        <v>0</v>
      </c>
      <c r="I3" s="14"/>
      <c r="J3" s="15"/>
      <c r="K3" s="88"/>
      <c r="L3" s="57"/>
      <c r="M3" s="19"/>
      <c r="N3" s="6"/>
      <c r="O3" s="23"/>
      <c r="P3" s="48"/>
      <c r="Q3" s="54"/>
      <c r="R3" s="49"/>
    </row>
    <row r="4" spans="1:19" x14ac:dyDescent="0.25">
      <c r="A4" s="102">
        <v>2</v>
      </c>
      <c r="B4" s="104" t="s">
        <v>19</v>
      </c>
      <c r="C4" s="22">
        <v>45718</v>
      </c>
      <c r="D4" s="23" t="s">
        <v>29</v>
      </c>
      <c r="E4" s="24">
        <v>58067</v>
      </c>
      <c r="F4" s="25">
        <v>58107</v>
      </c>
      <c r="G4" s="25">
        <f t="shared" si="0"/>
        <v>40</v>
      </c>
      <c r="H4" s="26">
        <f t="shared" si="1"/>
        <v>1000</v>
      </c>
      <c r="I4" s="27"/>
      <c r="J4" s="28"/>
      <c r="K4" s="87">
        <v>986</v>
      </c>
      <c r="L4" s="59">
        <v>301202503041</v>
      </c>
      <c r="M4" s="29">
        <v>32167</v>
      </c>
      <c r="N4" s="30">
        <f>J4+H4+M4</f>
        <v>33167</v>
      </c>
      <c r="O4" s="23"/>
      <c r="P4" s="46"/>
      <c r="Q4" s="53"/>
      <c r="R4" s="47"/>
    </row>
    <row r="5" spans="1:19" x14ac:dyDescent="0.25">
      <c r="A5" s="102"/>
      <c r="B5" s="105"/>
      <c r="C5" s="56">
        <v>45739</v>
      </c>
      <c r="D5" s="4"/>
      <c r="E5" s="8"/>
      <c r="F5" s="9"/>
      <c r="G5" s="9">
        <v>50</v>
      </c>
      <c r="H5" s="26">
        <f t="shared" si="1"/>
        <v>1250</v>
      </c>
      <c r="I5" s="14"/>
      <c r="J5" s="15"/>
      <c r="K5" s="88">
        <v>1317</v>
      </c>
      <c r="L5" s="60">
        <v>301202503124</v>
      </c>
      <c r="M5" s="19">
        <v>31457</v>
      </c>
      <c r="N5" s="30">
        <f>J5+H5+M5</f>
        <v>32707</v>
      </c>
      <c r="O5" s="23"/>
      <c r="P5" s="48"/>
      <c r="Q5" s="54"/>
      <c r="R5" s="49"/>
      <c r="S5" t="s">
        <v>60</v>
      </c>
    </row>
    <row r="6" spans="1:19" ht="15.75" thickBot="1" x14ac:dyDescent="0.3">
      <c r="A6" s="103"/>
      <c r="B6" s="107"/>
      <c r="C6" s="2"/>
      <c r="D6" s="5"/>
      <c r="E6" s="11"/>
      <c r="F6" s="12"/>
      <c r="G6" s="12"/>
      <c r="H6" s="26">
        <f t="shared" si="1"/>
        <v>0</v>
      </c>
      <c r="I6" s="16"/>
      <c r="J6" s="17"/>
      <c r="K6" s="89"/>
      <c r="L6" s="58"/>
      <c r="M6" s="21"/>
      <c r="N6" s="7"/>
      <c r="O6" s="23"/>
      <c r="P6" s="50"/>
      <c r="Q6" s="55"/>
      <c r="R6" s="51"/>
    </row>
    <row r="7" spans="1:19" x14ac:dyDescent="0.25">
      <c r="A7" s="102">
        <v>3</v>
      </c>
      <c r="B7" s="104" t="s">
        <v>22</v>
      </c>
      <c r="C7" s="22">
        <v>45753</v>
      </c>
      <c r="D7" s="23" t="s">
        <v>30</v>
      </c>
      <c r="E7" s="24">
        <v>42359</v>
      </c>
      <c r="F7" s="25">
        <v>42416</v>
      </c>
      <c r="G7" s="25">
        <f>F7-E7</f>
        <v>57</v>
      </c>
      <c r="H7" s="26">
        <f t="shared" si="1"/>
        <v>1425</v>
      </c>
      <c r="I7" s="27"/>
      <c r="J7" s="28"/>
      <c r="K7" s="87">
        <v>1444</v>
      </c>
      <c r="L7" s="59">
        <v>301202504014</v>
      </c>
      <c r="M7" s="29">
        <v>43319</v>
      </c>
      <c r="N7" s="30">
        <f>J7+H7+M7</f>
        <v>44744</v>
      </c>
      <c r="O7" s="23"/>
      <c r="P7" s="46"/>
      <c r="Q7" s="53"/>
      <c r="R7" s="47"/>
    </row>
    <row r="8" spans="1:19" x14ac:dyDescent="0.25">
      <c r="A8" s="102"/>
      <c r="B8" s="105"/>
      <c r="C8" s="22">
        <v>45760</v>
      </c>
      <c r="D8" s="4"/>
      <c r="E8" s="9"/>
      <c r="F8" s="9"/>
      <c r="G8" s="9">
        <v>100</v>
      </c>
      <c r="H8" s="26">
        <f t="shared" si="1"/>
        <v>2500</v>
      </c>
      <c r="I8" s="14"/>
      <c r="J8" s="15"/>
      <c r="K8" s="88">
        <v>1522</v>
      </c>
      <c r="L8" s="60">
        <v>301202504060</v>
      </c>
      <c r="M8" s="19">
        <v>35829</v>
      </c>
      <c r="N8" s="30">
        <f t="shared" ref="N8:N9" si="2">J8+H8+M8</f>
        <v>38329</v>
      </c>
      <c r="O8" s="23"/>
      <c r="P8" s="48"/>
      <c r="Q8" s="54"/>
      <c r="R8" s="49"/>
      <c r="S8" t="s">
        <v>62</v>
      </c>
    </row>
    <row r="9" spans="1:19" ht="15.75" thickBot="1" x14ac:dyDescent="0.3">
      <c r="A9" s="103"/>
      <c r="B9" s="107"/>
      <c r="C9" s="22">
        <v>45767</v>
      </c>
      <c r="D9" s="5"/>
      <c r="E9" s="12"/>
      <c r="F9" s="12"/>
      <c r="G9" s="12">
        <v>50</v>
      </c>
      <c r="H9" s="26">
        <f t="shared" si="1"/>
        <v>1250</v>
      </c>
      <c r="I9" s="16"/>
      <c r="J9" s="17"/>
      <c r="K9" s="89" t="s">
        <v>23</v>
      </c>
      <c r="L9" s="61">
        <v>301202504094</v>
      </c>
      <c r="M9" s="21">
        <v>34179</v>
      </c>
      <c r="N9" s="30">
        <f t="shared" si="2"/>
        <v>35429</v>
      </c>
      <c r="O9" s="23"/>
      <c r="P9" s="50"/>
      <c r="Q9" s="55"/>
      <c r="R9" s="51"/>
      <c r="S9" t="s">
        <v>61</v>
      </c>
    </row>
    <row r="10" spans="1:19" ht="15.75" thickBot="1" x14ac:dyDescent="0.3">
      <c r="A10" s="102">
        <v>4</v>
      </c>
      <c r="B10" s="104" t="s">
        <v>24</v>
      </c>
      <c r="C10" s="22">
        <v>45778</v>
      </c>
      <c r="D10" s="23"/>
      <c r="E10" s="12"/>
      <c r="F10" s="25"/>
      <c r="G10" s="25">
        <v>50</v>
      </c>
      <c r="H10" s="26">
        <f t="shared" si="1"/>
        <v>1250</v>
      </c>
      <c r="I10" s="27"/>
      <c r="J10" s="28"/>
      <c r="K10" s="87">
        <v>1730</v>
      </c>
      <c r="L10" s="59">
        <v>301202505007</v>
      </c>
      <c r="M10" s="29">
        <v>8409</v>
      </c>
      <c r="N10" s="30">
        <f>J10+H10+M10</f>
        <v>9659</v>
      </c>
      <c r="O10" s="23"/>
      <c r="P10" s="46"/>
      <c r="Q10" s="53"/>
      <c r="R10" s="47"/>
      <c r="S10" t="s">
        <v>61</v>
      </c>
    </row>
    <row r="11" spans="1:19" x14ac:dyDescent="0.25">
      <c r="A11" s="102"/>
      <c r="B11" s="105"/>
      <c r="C11" s="22">
        <v>45788</v>
      </c>
      <c r="D11" s="23" t="s">
        <v>30</v>
      </c>
      <c r="E11" s="8">
        <v>42719</v>
      </c>
      <c r="F11" s="9">
        <v>42828</v>
      </c>
      <c r="G11" s="25">
        <f>F11-E11</f>
        <v>109</v>
      </c>
      <c r="H11" s="26">
        <f t="shared" si="1"/>
        <v>2725</v>
      </c>
      <c r="I11" s="14">
        <v>10</v>
      </c>
      <c r="J11" s="15"/>
      <c r="K11" s="88">
        <v>1810</v>
      </c>
      <c r="L11" s="60">
        <v>301202505049</v>
      </c>
      <c r="M11" s="19">
        <v>17369</v>
      </c>
      <c r="N11" s="30">
        <f t="shared" ref="N11:N13" si="3">J11+H11+M11</f>
        <v>20094</v>
      </c>
      <c r="O11" s="23"/>
      <c r="P11" s="48"/>
      <c r="Q11" s="54"/>
      <c r="R11" s="49"/>
    </row>
    <row r="12" spans="1:19" ht="15.75" thickBot="1" x14ac:dyDescent="0.3">
      <c r="A12" s="102"/>
      <c r="B12" s="106"/>
      <c r="C12" s="56">
        <v>45795</v>
      </c>
      <c r="D12" s="1" t="s">
        <v>59</v>
      </c>
      <c r="E12" s="9" t="s">
        <v>37</v>
      </c>
      <c r="F12" s="9"/>
      <c r="G12" s="9">
        <v>10</v>
      </c>
      <c r="H12" s="26">
        <f t="shared" si="1"/>
        <v>250</v>
      </c>
      <c r="I12" s="76"/>
      <c r="J12" s="64"/>
      <c r="K12" s="89" t="s">
        <v>25</v>
      </c>
      <c r="L12" s="61">
        <v>301202505051</v>
      </c>
      <c r="M12" s="21">
        <v>11069</v>
      </c>
      <c r="N12" s="30">
        <f t="shared" si="3"/>
        <v>11319</v>
      </c>
      <c r="O12" s="23"/>
      <c r="P12" s="65"/>
      <c r="Q12" s="66"/>
      <c r="R12" s="67"/>
      <c r="S12" t="s">
        <v>63</v>
      </c>
    </row>
    <row r="13" spans="1:19" ht="15.75" thickBot="1" x14ac:dyDescent="0.3">
      <c r="A13" s="103"/>
      <c r="B13" s="107"/>
      <c r="C13" s="56">
        <v>45802</v>
      </c>
      <c r="D13" s="1" t="s">
        <v>30</v>
      </c>
      <c r="E13" s="9">
        <v>43375</v>
      </c>
      <c r="F13" s="9">
        <v>43415</v>
      </c>
      <c r="G13" s="9">
        <f>F13-E13</f>
        <v>40</v>
      </c>
      <c r="H13" s="26">
        <f t="shared" si="1"/>
        <v>1000</v>
      </c>
      <c r="I13" s="77">
        <v>11</v>
      </c>
      <c r="J13" s="28"/>
      <c r="K13" s="87" t="s">
        <v>38</v>
      </c>
      <c r="L13" s="61" t="s">
        <v>27</v>
      </c>
      <c r="M13" s="21">
        <v>17987</v>
      </c>
      <c r="N13" s="30">
        <f t="shared" si="3"/>
        <v>18987</v>
      </c>
      <c r="O13" s="23"/>
      <c r="P13" s="50"/>
      <c r="Q13" s="55"/>
      <c r="R13" s="51"/>
    </row>
    <row r="14" spans="1:19" x14ac:dyDescent="0.25">
      <c r="A14" s="102">
        <v>5</v>
      </c>
      <c r="B14" s="104" t="s">
        <v>26</v>
      </c>
      <c r="C14" s="22">
        <v>45823</v>
      </c>
      <c r="D14" s="23" t="s">
        <v>30</v>
      </c>
      <c r="E14" s="24">
        <v>43677</v>
      </c>
      <c r="F14" s="25">
        <v>43755</v>
      </c>
      <c r="G14" s="25">
        <f>F14-E14</f>
        <v>78</v>
      </c>
      <c r="H14" s="26">
        <f t="shared" si="1"/>
        <v>1950</v>
      </c>
      <c r="I14" s="27">
        <v>11</v>
      </c>
      <c r="J14" s="28"/>
      <c r="K14" s="87">
        <v>2063</v>
      </c>
      <c r="L14" s="59">
        <v>301202506078</v>
      </c>
      <c r="M14" s="29">
        <v>10699</v>
      </c>
      <c r="N14" s="30">
        <f>J14+H14+M14</f>
        <v>12649</v>
      </c>
      <c r="O14" s="23"/>
      <c r="P14" s="46"/>
      <c r="Q14" s="53"/>
      <c r="R14" s="47"/>
    </row>
    <row r="15" spans="1:19" x14ac:dyDescent="0.25">
      <c r="A15" s="102"/>
      <c r="B15" s="105"/>
      <c r="C15" s="22">
        <v>45830</v>
      </c>
      <c r="D15" s="23" t="s">
        <v>30</v>
      </c>
      <c r="E15" s="8">
        <v>43860</v>
      </c>
      <c r="F15" s="9">
        <v>43914</v>
      </c>
      <c r="G15" s="9">
        <f>F15-E15</f>
        <v>54</v>
      </c>
      <c r="H15" s="26">
        <f t="shared" si="1"/>
        <v>1350</v>
      </c>
      <c r="I15" s="14">
        <v>12</v>
      </c>
      <c r="J15" s="15"/>
      <c r="K15" s="88">
        <v>2139</v>
      </c>
      <c r="L15" s="60">
        <v>301202506134</v>
      </c>
      <c r="M15" s="19">
        <v>49185</v>
      </c>
      <c r="N15" s="30">
        <f t="shared" ref="N15" si="4">J15+H15+M15</f>
        <v>50535</v>
      </c>
      <c r="O15" s="23"/>
      <c r="P15" s="48"/>
      <c r="Q15" s="54"/>
      <c r="R15" s="49"/>
    </row>
    <row r="16" spans="1:19" ht="15.75" thickBot="1" x14ac:dyDescent="0.3">
      <c r="A16" s="103"/>
      <c r="B16" s="107"/>
      <c r="C16" s="22"/>
      <c r="D16" s="5"/>
      <c r="E16" s="11"/>
      <c r="F16" s="12"/>
      <c r="G16" s="12"/>
      <c r="H16" s="26">
        <f t="shared" si="1"/>
        <v>0</v>
      </c>
      <c r="I16" s="16"/>
      <c r="J16" s="17"/>
      <c r="K16" s="89"/>
      <c r="L16" s="61"/>
      <c r="M16" s="21"/>
      <c r="N16" s="30"/>
      <c r="O16" s="23"/>
      <c r="P16" s="50"/>
      <c r="Q16" s="55"/>
      <c r="R16" s="51"/>
    </row>
    <row r="17" spans="1:18" x14ac:dyDescent="0.25">
      <c r="A17" s="102">
        <v>6</v>
      </c>
      <c r="B17" s="104" t="s">
        <v>28</v>
      </c>
      <c r="C17" s="22">
        <v>45844</v>
      </c>
      <c r="D17" s="23" t="s">
        <v>30</v>
      </c>
      <c r="E17" s="24">
        <v>43995</v>
      </c>
      <c r="F17" s="25">
        <v>44098</v>
      </c>
      <c r="G17" s="25">
        <f t="shared" ref="G17:G24" si="5">F17-E17</f>
        <v>103</v>
      </c>
      <c r="H17" s="26">
        <f t="shared" si="1"/>
        <v>2575</v>
      </c>
      <c r="I17" s="27">
        <v>12.5</v>
      </c>
      <c r="J17" s="28"/>
      <c r="K17" s="87">
        <v>2271</v>
      </c>
      <c r="L17" s="59">
        <v>301202507026</v>
      </c>
      <c r="M17" s="29">
        <v>25787</v>
      </c>
      <c r="N17" s="30">
        <f>J17+H17+M17</f>
        <v>28362</v>
      </c>
      <c r="O17" s="23"/>
      <c r="P17" s="46"/>
      <c r="Q17" s="53"/>
      <c r="R17" s="47"/>
    </row>
    <row r="18" spans="1:18" x14ac:dyDescent="0.25">
      <c r="A18" s="102"/>
      <c r="B18" s="105"/>
      <c r="C18" s="22">
        <v>45851</v>
      </c>
      <c r="D18" s="23" t="s">
        <v>30</v>
      </c>
      <c r="E18" s="8">
        <v>44152</v>
      </c>
      <c r="F18" s="9">
        <v>44250</v>
      </c>
      <c r="G18" s="9">
        <f t="shared" si="5"/>
        <v>98</v>
      </c>
      <c r="H18" s="26">
        <f t="shared" si="1"/>
        <v>2450</v>
      </c>
      <c r="I18" s="14">
        <v>15</v>
      </c>
      <c r="J18" s="15"/>
      <c r="K18" s="88">
        <v>2343</v>
      </c>
      <c r="L18" s="60">
        <v>301202507069</v>
      </c>
      <c r="M18" s="68">
        <v>31137</v>
      </c>
      <c r="N18" s="30">
        <f t="shared" ref="N18:N19" si="6">J18+H18+M18</f>
        <v>33587</v>
      </c>
      <c r="O18" s="23"/>
      <c r="P18" s="48"/>
      <c r="Q18" s="54"/>
      <c r="R18" s="49"/>
    </row>
    <row r="19" spans="1:18" ht="15.75" thickBot="1" x14ac:dyDescent="0.3">
      <c r="A19" s="103"/>
      <c r="B19" s="107"/>
      <c r="C19" s="69">
        <v>45865</v>
      </c>
      <c r="D19" s="5" t="s">
        <v>31</v>
      </c>
      <c r="E19" s="11">
        <v>77837</v>
      </c>
      <c r="F19" s="12">
        <v>77907</v>
      </c>
      <c r="G19" s="12">
        <f t="shared" si="5"/>
        <v>70</v>
      </c>
      <c r="H19" s="26">
        <f t="shared" si="1"/>
        <v>1750</v>
      </c>
      <c r="I19" s="27">
        <v>12.5</v>
      </c>
      <c r="J19" s="17"/>
      <c r="K19" s="89">
        <v>2478</v>
      </c>
      <c r="L19" s="61">
        <v>301202507121</v>
      </c>
      <c r="M19" s="68">
        <v>26537</v>
      </c>
      <c r="N19" s="30">
        <f t="shared" si="6"/>
        <v>28287</v>
      </c>
      <c r="O19" s="23"/>
      <c r="P19" s="50"/>
      <c r="Q19" s="55"/>
      <c r="R19" s="51"/>
    </row>
    <row r="20" spans="1:18" x14ac:dyDescent="0.25">
      <c r="A20" s="102">
        <v>7</v>
      </c>
      <c r="B20" s="104" t="s">
        <v>32</v>
      </c>
      <c r="C20" s="22">
        <v>45879</v>
      </c>
      <c r="D20" s="23" t="s">
        <v>30</v>
      </c>
      <c r="E20" s="30">
        <v>45406</v>
      </c>
      <c r="F20" s="74">
        <v>45482</v>
      </c>
      <c r="G20" s="74">
        <f t="shared" si="5"/>
        <v>76</v>
      </c>
      <c r="H20" s="26">
        <f t="shared" si="1"/>
        <v>1900</v>
      </c>
      <c r="I20" s="30"/>
      <c r="J20" s="75"/>
      <c r="K20" s="90">
        <v>2583</v>
      </c>
      <c r="L20" s="79"/>
      <c r="M20" s="78"/>
      <c r="N20" s="30">
        <f>J20+H20+M20</f>
        <v>1900</v>
      </c>
      <c r="O20" s="23"/>
      <c r="P20" s="46"/>
      <c r="Q20" s="53"/>
      <c r="R20" s="47"/>
    </row>
    <row r="21" spans="1:18" x14ac:dyDescent="0.25">
      <c r="A21" s="102"/>
      <c r="B21" s="105"/>
      <c r="C21" s="22"/>
      <c r="D21" s="1" t="s">
        <v>33</v>
      </c>
      <c r="E21" s="72"/>
      <c r="F21" s="9"/>
      <c r="G21" s="9">
        <f t="shared" si="5"/>
        <v>0</v>
      </c>
      <c r="H21" s="10">
        <f t="shared" ref="H21:H24" si="7">G21*15</f>
        <v>0</v>
      </c>
      <c r="I21" s="14"/>
      <c r="J21" s="15"/>
      <c r="K21" s="88">
        <v>2611</v>
      </c>
      <c r="L21" s="60">
        <v>301202508050</v>
      </c>
      <c r="M21" s="68">
        <v>66553</v>
      </c>
      <c r="N21" s="30">
        <f t="shared" ref="N21:N23" si="8">J21+H21+M21</f>
        <v>66553</v>
      </c>
      <c r="O21" s="23"/>
      <c r="P21" s="48"/>
      <c r="Q21" s="54"/>
      <c r="R21" s="49"/>
    </row>
    <row r="22" spans="1:18" ht="15.75" thickBot="1" x14ac:dyDescent="0.3">
      <c r="A22" s="102"/>
      <c r="B22" s="106"/>
      <c r="C22" s="22"/>
      <c r="D22" s="1" t="s">
        <v>33</v>
      </c>
      <c r="E22" s="73"/>
      <c r="F22" s="62"/>
      <c r="G22" s="62"/>
      <c r="H22" s="63"/>
      <c r="I22" s="27"/>
      <c r="J22" s="64"/>
      <c r="K22" s="89">
        <v>2375</v>
      </c>
      <c r="L22" s="71">
        <v>301202508052</v>
      </c>
      <c r="M22" s="68">
        <v>78832</v>
      </c>
      <c r="N22" s="30">
        <f t="shared" si="8"/>
        <v>78832</v>
      </c>
      <c r="O22" s="23"/>
      <c r="P22" s="65"/>
      <c r="Q22" s="66"/>
      <c r="R22" s="67"/>
    </row>
    <row r="23" spans="1:18" x14ac:dyDescent="0.25">
      <c r="A23" s="102"/>
      <c r="B23" s="106"/>
      <c r="C23" s="22"/>
      <c r="D23" s="1" t="s">
        <v>33</v>
      </c>
      <c r="E23" s="73"/>
      <c r="F23" s="62"/>
      <c r="G23" s="62"/>
      <c r="H23" s="63"/>
      <c r="I23" s="27"/>
      <c r="J23" s="64"/>
      <c r="K23" s="91">
        <v>2541</v>
      </c>
      <c r="L23" s="71">
        <v>301202508057</v>
      </c>
      <c r="M23" s="68">
        <v>7999</v>
      </c>
      <c r="N23" s="30">
        <f t="shared" si="8"/>
        <v>7999</v>
      </c>
      <c r="O23" s="23"/>
      <c r="P23" s="65"/>
      <c r="Q23" s="66"/>
      <c r="R23" s="67"/>
    </row>
    <row r="24" spans="1:18" ht="15.75" thickBot="1" x14ac:dyDescent="0.3">
      <c r="A24" s="103"/>
      <c r="B24" s="107"/>
      <c r="C24" s="69"/>
      <c r="D24" s="5"/>
      <c r="E24" s="11"/>
      <c r="F24" s="12"/>
      <c r="G24" s="12">
        <f t="shared" si="5"/>
        <v>0</v>
      </c>
      <c r="H24" s="13">
        <f t="shared" si="7"/>
        <v>0</v>
      </c>
      <c r="I24" s="27"/>
      <c r="J24" s="17"/>
      <c r="K24" s="89"/>
      <c r="L24" s="61"/>
      <c r="M24" s="68"/>
      <c r="N24" s="7"/>
      <c r="O24" s="23"/>
      <c r="P24" s="50"/>
      <c r="Q24" s="55"/>
      <c r="R24" s="51"/>
    </row>
    <row r="25" spans="1:18" x14ac:dyDescent="0.25">
      <c r="G25" s="92">
        <f>SUM(G2:G24)</f>
        <v>1015</v>
      </c>
      <c r="H25" s="92">
        <f>SUM(H2:H24)</f>
        <v>25375</v>
      </c>
      <c r="M25" s="92">
        <f>SUM(M2:M24)</f>
        <v>555681</v>
      </c>
      <c r="N25" s="93">
        <f>SUM(N2:N24)</f>
        <v>581056</v>
      </c>
    </row>
    <row r="27" spans="1:18" x14ac:dyDescent="0.25">
      <c r="C27" s="98" t="s">
        <v>1</v>
      </c>
      <c r="D27" s="98" t="s">
        <v>50</v>
      </c>
    </row>
    <row r="28" spans="1:18" x14ac:dyDescent="0.25">
      <c r="C28" s="98" t="s">
        <v>47</v>
      </c>
      <c r="D28" s="98">
        <v>1200</v>
      </c>
      <c r="N28" s="94" t="s">
        <v>54</v>
      </c>
      <c r="O28" s="94">
        <f>+N25</f>
        <v>581056</v>
      </c>
    </row>
    <row r="29" spans="1:18" x14ac:dyDescent="0.25">
      <c r="C29" s="98" t="s">
        <v>48</v>
      </c>
      <c r="D29" s="98">
        <v>2000</v>
      </c>
      <c r="N29" s="94" t="s">
        <v>55</v>
      </c>
      <c r="O29" s="94">
        <v>22400</v>
      </c>
    </row>
    <row r="30" spans="1:18" x14ac:dyDescent="0.25">
      <c r="C30" s="98" t="s">
        <v>49</v>
      </c>
      <c r="D30" s="98">
        <v>2000</v>
      </c>
      <c r="N30" s="94"/>
      <c r="O30" s="95">
        <f>O28-O29</f>
        <v>558656</v>
      </c>
    </row>
    <row r="31" spans="1:18" x14ac:dyDescent="0.25">
      <c r="C31" s="98" t="s">
        <v>39</v>
      </c>
      <c r="D31" s="98">
        <v>3500</v>
      </c>
    </row>
    <row r="32" spans="1:18" x14ac:dyDescent="0.25">
      <c r="C32" s="98" t="s">
        <v>40</v>
      </c>
      <c r="D32" s="98">
        <v>1500</v>
      </c>
      <c r="N32" s="96" t="s">
        <v>51</v>
      </c>
      <c r="O32" s="96">
        <v>570000</v>
      </c>
    </row>
    <row r="33" spans="3:15" x14ac:dyDescent="0.25">
      <c r="C33" s="98" t="s">
        <v>41</v>
      </c>
      <c r="D33" s="98">
        <v>2000</v>
      </c>
      <c r="N33" s="96" t="s">
        <v>52</v>
      </c>
      <c r="O33" s="96">
        <f>+O30</f>
        <v>558656</v>
      </c>
    </row>
    <row r="34" spans="3:15" x14ac:dyDescent="0.25">
      <c r="C34" s="98" t="s">
        <v>42</v>
      </c>
      <c r="D34" s="98">
        <v>2200</v>
      </c>
      <c r="N34" s="96" t="s">
        <v>53</v>
      </c>
      <c r="O34" s="97">
        <f>O32-O33</f>
        <v>11344</v>
      </c>
    </row>
    <row r="35" spans="3:15" x14ac:dyDescent="0.25">
      <c r="C35" s="98" t="s">
        <v>43</v>
      </c>
      <c r="D35" s="98">
        <v>2000</v>
      </c>
    </row>
    <row r="36" spans="3:15" x14ac:dyDescent="0.25">
      <c r="C36" s="98" t="s">
        <v>44</v>
      </c>
      <c r="D36" s="98">
        <v>2000</v>
      </c>
    </row>
    <row r="37" spans="3:15" x14ac:dyDescent="0.25">
      <c r="C37" s="98" t="s">
        <v>45</v>
      </c>
      <c r="D37" s="98">
        <v>2000</v>
      </c>
    </row>
    <row r="38" spans="3:15" x14ac:dyDescent="0.25">
      <c r="C38" s="98" t="s">
        <v>46</v>
      </c>
      <c r="D38" s="98">
        <v>2000</v>
      </c>
    </row>
    <row r="39" spans="3:15" x14ac:dyDescent="0.25">
      <c r="C39" s="98"/>
      <c r="D39" s="99">
        <f>SUM(D28:D38)</f>
        <v>22400</v>
      </c>
    </row>
    <row r="42" spans="3:15" x14ac:dyDescent="0.25">
      <c r="C42" s="100" t="s">
        <v>56</v>
      </c>
      <c r="D42" s="101" t="s">
        <v>30</v>
      </c>
      <c r="E42">
        <v>45537</v>
      </c>
      <c r="F42">
        <v>45596</v>
      </c>
      <c r="G42">
        <f>F42-E42</f>
        <v>59</v>
      </c>
      <c r="H42">
        <f>G42*25</f>
        <v>1475</v>
      </c>
      <c r="I42">
        <v>13</v>
      </c>
    </row>
    <row r="43" spans="3:15" x14ac:dyDescent="0.25">
      <c r="C43" t="s">
        <v>57</v>
      </c>
      <c r="D43" s="101" t="s">
        <v>30</v>
      </c>
      <c r="E43">
        <v>45824</v>
      </c>
      <c r="F43">
        <v>45918</v>
      </c>
      <c r="G43">
        <f t="shared" ref="G43:G44" si="9">F43-E43</f>
        <v>94</v>
      </c>
      <c r="H43">
        <f t="shared" ref="H43:H44" si="10">G43*25</f>
        <v>2350</v>
      </c>
      <c r="I43">
        <v>13</v>
      </c>
    </row>
    <row r="44" spans="3:15" x14ac:dyDescent="0.25">
      <c r="C44" t="s">
        <v>58</v>
      </c>
      <c r="D44" s="101" t="s">
        <v>30</v>
      </c>
      <c r="E44">
        <v>46170</v>
      </c>
      <c r="F44">
        <v>46264</v>
      </c>
      <c r="G44">
        <f t="shared" si="9"/>
        <v>94</v>
      </c>
      <c r="H44">
        <f t="shared" si="10"/>
        <v>2350</v>
      </c>
      <c r="I44">
        <v>14</v>
      </c>
    </row>
    <row r="46" spans="3:15" x14ac:dyDescent="0.25">
      <c r="G46" t="s">
        <v>65</v>
      </c>
      <c r="H46" s="80">
        <f>SUM(H42:H45)</f>
        <v>6175</v>
      </c>
    </row>
  </sheetData>
  <mergeCells count="14">
    <mergeCell ref="A20:A24"/>
    <mergeCell ref="B20:B24"/>
    <mergeCell ref="B2:B3"/>
    <mergeCell ref="A2:A3"/>
    <mergeCell ref="A4:A6"/>
    <mergeCell ref="B4:B6"/>
    <mergeCell ref="A7:A9"/>
    <mergeCell ref="B7:B9"/>
    <mergeCell ref="A17:A19"/>
    <mergeCell ref="B17:B19"/>
    <mergeCell ref="A10:A13"/>
    <mergeCell ref="B10:B13"/>
    <mergeCell ref="A14:A16"/>
    <mergeCell ref="B14:B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H28"/>
  <sheetViews>
    <sheetView topLeftCell="A13" workbookViewId="0">
      <selection activeCell="F17" sqref="F17"/>
    </sheetView>
  </sheetViews>
  <sheetFormatPr defaultRowHeight="15" x14ac:dyDescent="0.25"/>
  <cols>
    <col min="5" max="5" width="22.42578125" customWidth="1"/>
    <col min="6" max="6" width="34.5703125" customWidth="1"/>
    <col min="7" max="7" width="12.42578125" customWidth="1"/>
  </cols>
  <sheetData>
    <row r="2" spans="5:7" ht="15.75" thickBot="1" x14ac:dyDescent="0.3">
      <c r="E2" s="80" t="s">
        <v>34</v>
      </c>
      <c r="G2" s="86">
        <v>570000</v>
      </c>
    </row>
    <row r="3" spans="5:7" ht="45.75" thickBot="1" x14ac:dyDescent="0.3">
      <c r="E3" s="41" t="s">
        <v>20</v>
      </c>
      <c r="F3" s="41" t="s">
        <v>9</v>
      </c>
      <c r="G3" s="42" t="s">
        <v>11</v>
      </c>
    </row>
    <row r="4" spans="5:7" x14ac:dyDescent="0.25">
      <c r="E4" s="81" t="s">
        <v>17</v>
      </c>
      <c r="F4" s="29" t="s">
        <v>21</v>
      </c>
      <c r="G4" s="29">
        <v>27167</v>
      </c>
    </row>
    <row r="5" spans="5:7" x14ac:dyDescent="0.25">
      <c r="E5" s="18"/>
      <c r="F5" s="57"/>
      <c r="G5" s="19"/>
    </row>
    <row r="6" spans="5:7" ht="15.75" thickBot="1" x14ac:dyDescent="0.3">
      <c r="E6" s="20"/>
      <c r="F6" s="58"/>
      <c r="G6" s="21"/>
    </row>
    <row r="7" spans="5:7" x14ac:dyDescent="0.25">
      <c r="E7" s="81">
        <v>986</v>
      </c>
      <c r="F7" s="59">
        <v>301202503041</v>
      </c>
      <c r="G7" s="29">
        <v>32167</v>
      </c>
    </row>
    <row r="8" spans="5:7" x14ac:dyDescent="0.25">
      <c r="E8" s="18">
        <v>1317</v>
      </c>
      <c r="F8" s="60">
        <v>301202503124</v>
      </c>
      <c r="G8" s="19">
        <v>31457</v>
      </c>
    </row>
    <row r="9" spans="5:7" ht="15.75" thickBot="1" x14ac:dyDescent="0.3">
      <c r="E9" s="20"/>
      <c r="F9" s="58"/>
      <c r="G9" s="21"/>
    </row>
    <row r="10" spans="5:7" x14ac:dyDescent="0.25">
      <c r="E10" s="81">
        <v>1444</v>
      </c>
      <c r="F10" s="59">
        <v>301202504014</v>
      </c>
      <c r="G10" s="29">
        <v>43319</v>
      </c>
    </row>
    <row r="11" spans="5:7" x14ac:dyDescent="0.25">
      <c r="E11" s="18">
        <v>1522</v>
      </c>
      <c r="F11" s="60">
        <v>301202504060</v>
      </c>
      <c r="G11" s="19">
        <v>35829</v>
      </c>
    </row>
    <row r="12" spans="5:7" ht="15.75" thickBot="1" x14ac:dyDescent="0.3">
      <c r="E12" s="20" t="s">
        <v>23</v>
      </c>
      <c r="F12" s="61">
        <v>301202504094</v>
      </c>
      <c r="G12" s="21">
        <v>34179</v>
      </c>
    </row>
    <row r="13" spans="5:7" x14ac:dyDescent="0.25">
      <c r="E13" s="81">
        <v>1730</v>
      </c>
      <c r="F13" s="59">
        <v>301202505007</v>
      </c>
      <c r="G13" s="29">
        <v>8409</v>
      </c>
    </row>
    <row r="14" spans="5:7" x14ac:dyDescent="0.25">
      <c r="E14" s="18">
        <v>1810</v>
      </c>
      <c r="F14" s="60">
        <v>301202505049</v>
      </c>
      <c r="G14" s="19">
        <v>17369</v>
      </c>
    </row>
    <row r="15" spans="5:7" ht="15.75" thickBot="1" x14ac:dyDescent="0.3">
      <c r="E15" s="20" t="s">
        <v>25</v>
      </c>
      <c r="F15" s="61">
        <v>301202505051</v>
      </c>
      <c r="G15" s="21">
        <v>11069</v>
      </c>
    </row>
    <row r="16" spans="5:7" ht="15.75" thickBot="1" x14ac:dyDescent="0.3">
      <c r="E16" s="81">
        <v>2063</v>
      </c>
      <c r="F16" s="61" t="s">
        <v>27</v>
      </c>
      <c r="G16" s="21">
        <v>17987</v>
      </c>
    </row>
    <row r="17" spans="5:8" x14ac:dyDescent="0.25">
      <c r="E17" s="81"/>
      <c r="F17" s="59">
        <v>301202506078</v>
      </c>
      <c r="G17" s="29">
        <v>10699</v>
      </c>
    </row>
    <row r="18" spans="5:8" x14ac:dyDescent="0.25">
      <c r="E18" s="18">
        <v>2139</v>
      </c>
      <c r="F18" s="60">
        <v>301202506134</v>
      </c>
      <c r="G18" s="19">
        <v>49185</v>
      </c>
    </row>
    <row r="19" spans="5:8" ht="15.75" thickBot="1" x14ac:dyDescent="0.3">
      <c r="E19" s="20"/>
      <c r="F19" s="61"/>
      <c r="G19" s="21"/>
    </row>
    <row r="20" spans="5:8" x14ac:dyDescent="0.25">
      <c r="E20" s="81">
        <v>2271</v>
      </c>
      <c r="F20" s="59">
        <v>301202507026</v>
      </c>
      <c r="G20" s="29">
        <v>25787</v>
      </c>
    </row>
    <row r="21" spans="5:8" x14ac:dyDescent="0.25">
      <c r="E21" s="18">
        <v>2343</v>
      </c>
      <c r="F21" s="60">
        <v>301202507069</v>
      </c>
      <c r="G21" s="68">
        <v>31137</v>
      </c>
    </row>
    <row r="22" spans="5:8" ht="15.75" thickBot="1" x14ac:dyDescent="0.3">
      <c r="E22" s="20">
        <v>2478</v>
      </c>
      <c r="F22" s="61">
        <v>301202507121</v>
      </c>
      <c r="G22" s="68">
        <v>26537</v>
      </c>
    </row>
    <row r="23" spans="5:8" x14ac:dyDescent="0.25">
      <c r="E23" s="82">
        <v>2583</v>
      </c>
      <c r="F23" s="79"/>
      <c r="G23" s="78"/>
    </row>
    <row r="24" spans="5:8" x14ac:dyDescent="0.25">
      <c r="E24" s="18">
        <v>2611</v>
      </c>
      <c r="F24" s="60">
        <v>301202508050</v>
      </c>
      <c r="G24" s="68">
        <v>66553</v>
      </c>
    </row>
    <row r="25" spans="5:8" ht="15.75" thickBot="1" x14ac:dyDescent="0.3">
      <c r="E25" s="20">
        <v>2375</v>
      </c>
      <c r="F25" s="71">
        <v>301202508052</v>
      </c>
      <c r="G25" s="68">
        <v>78832</v>
      </c>
    </row>
    <row r="26" spans="5:8" x14ac:dyDescent="0.25">
      <c r="E26" s="70">
        <v>2541</v>
      </c>
      <c r="F26" s="71">
        <v>301202508057</v>
      </c>
      <c r="G26" s="68">
        <v>7999</v>
      </c>
    </row>
    <row r="27" spans="5:8" ht="15.75" thickBot="1" x14ac:dyDescent="0.3">
      <c r="E27" s="20"/>
      <c r="F27" s="61"/>
      <c r="G27" s="83">
        <f>SUM(G4:G26)</f>
        <v>555681</v>
      </c>
    </row>
    <row r="28" spans="5:8" x14ac:dyDescent="0.25">
      <c r="F28" s="84" t="s">
        <v>35</v>
      </c>
      <c r="G28" s="85">
        <f>G2-G27</f>
        <v>14319</v>
      </c>
      <c r="H2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RVC TSKP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Amiya Madhusudan Das</dc:creator>
  <cp:lastModifiedBy>jivdaya</cp:lastModifiedBy>
  <dcterms:created xsi:type="dcterms:W3CDTF">2015-06-05T18:17:20Z</dcterms:created>
  <dcterms:modified xsi:type="dcterms:W3CDTF">2025-11-08T13:30:24Z</dcterms:modified>
</cp:coreProperties>
</file>