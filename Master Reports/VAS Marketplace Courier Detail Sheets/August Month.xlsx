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Z:\JD NVCC\Documents\Documents 2025-26\Delhivery DATA FORMAT\Main sheet\2025\August\"/>
    </mc:Choice>
  </mc:AlternateContent>
  <xr:revisionPtr revIDLastSave="0" documentId="13_ncr:1_{80E06582-7671-468F-B2B6-0FDD58AC33E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5" i="1" l="1"/>
  <c r="N143" i="1"/>
  <c r="N141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19" i="1"/>
  <c r="N114" i="1"/>
  <c r="N112" i="1"/>
  <c r="N108" i="1"/>
  <c r="N107" i="1"/>
  <c r="N106" i="1"/>
  <c r="N103" i="1"/>
  <c r="N101" i="1"/>
  <c r="N100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78" i="1"/>
  <c r="N76" i="1"/>
  <c r="N74" i="1"/>
  <c r="N72" i="1"/>
  <c r="N71" i="1"/>
  <c r="N65" i="1"/>
  <c r="N64" i="1"/>
  <c r="N63" i="1"/>
  <c r="N56" i="1"/>
  <c r="N53" i="1"/>
  <c r="N51" i="1"/>
  <c r="N50" i="1"/>
  <c r="N45" i="1"/>
  <c r="N42" i="1"/>
  <c r="N40" i="1"/>
  <c r="N39" i="1"/>
  <c r="N38" i="1"/>
  <c r="N34" i="1"/>
  <c r="N32" i="1"/>
  <c r="N31" i="1"/>
  <c r="N30" i="1"/>
  <c r="N29" i="1"/>
  <c r="N28" i="1"/>
  <c r="N27" i="1"/>
  <c r="N25" i="1"/>
  <c r="N24" i="1"/>
  <c r="N23" i="1"/>
  <c r="N22" i="1"/>
  <c r="N20" i="1"/>
  <c r="N19" i="1"/>
  <c r="N18" i="1"/>
  <c r="N16" i="1"/>
  <c r="N14" i="1"/>
  <c r="N13" i="1"/>
  <c r="N8" i="1"/>
  <c r="N7" i="1"/>
  <c r="N6" i="1"/>
  <c r="N5" i="1"/>
  <c r="N4" i="1"/>
</calcChain>
</file>

<file path=xl/sharedStrings.xml><?xml version="1.0" encoding="utf-8"?>
<sst xmlns="http://schemas.openxmlformats.org/spreadsheetml/2006/main" count="863" uniqueCount="547">
  <si>
    <t>Sr No</t>
  </si>
  <si>
    <t>Costumer name</t>
  </si>
  <si>
    <t>Contact Number</t>
  </si>
  <si>
    <t>Costumer address</t>
  </si>
  <si>
    <t>Pin code</t>
  </si>
  <si>
    <t>City</t>
  </si>
  <si>
    <t>State</t>
  </si>
  <si>
    <t>No of Boxes</t>
  </si>
  <si>
    <t>Weight</t>
  </si>
  <si>
    <t>invoice no &amp; order no.</t>
  </si>
  <si>
    <t>Docket</t>
  </si>
  <si>
    <t>Amount</t>
  </si>
  <si>
    <t>Ref</t>
  </si>
  <si>
    <t>Date</t>
  </si>
  <si>
    <t>Invoice Value</t>
  </si>
  <si>
    <t>K. Durga</t>
  </si>
  <si>
    <t>9505743078/ 9705576325</t>
  </si>
  <si>
    <t>C/O K. Satyanarayana,
D no :1-55,
Subhadrapalem Road,
Pothavaram Post,
Nallajerla Mandal,
East Godavari District,
AP
Pin: 534176.</t>
  </si>
  <si>
    <t>East Godavari District</t>
  </si>
  <si>
    <t>ANDHRA PRADESH</t>
  </si>
  <si>
    <t>Braj Vilas Pr</t>
  </si>
  <si>
    <t>01.08.25</t>
  </si>
  <si>
    <t>02.08.25</t>
  </si>
  <si>
    <t>Swarup Ghorai</t>
  </si>
  <si>
    <t>KENDUADIHI, ROYPARA DURGAMELA ROAD, HOUSE NAME MOHINI BHAVAN PIN-722102</t>
  </si>
  <si>
    <t>Bankura</t>
  </si>
  <si>
    <t>West Bengal</t>
  </si>
  <si>
    <t>SSCPr</t>
  </si>
  <si>
    <t>05.08.25</t>
  </si>
  <si>
    <t>Asha Ravindranath</t>
  </si>
  <si>
    <t>Flat 2201 , Swaraj queens bay building, plot 72 D , sector 14 , koparkhairne, Navi Mumbai , Maharashtra 
Pin : 400709</t>
  </si>
  <si>
    <t>Mumbai</t>
  </si>
  <si>
    <t>Maharashtra</t>
  </si>
  <si>
    <t>Kashi Mishra Pr</t>
  </si>
  <si>
    <t xml:space="preserve">Keerti Kamal Rathod </t>
  </si>
  <si>
    <t>6260293756,
9131500183</t>
  </si>
  <si>
    <t xml:space="preserve">Gali no 2 behind Beyond Fitness Gym, Mandi Road 
City Dhamnod MP,
Pin code 454552
</t>
  </si>
  <si>
    <t>Dhamnod</t>
  </si>
  <si>
    <t>Madhya Pradesh</t>
  </si>
  <si>
    <t>Krishna Rupa Mtji</t>
  </si>
  <si>
    <t>Rashmi Nagar</t>
  </si>
  <si>
    <t>6309 080 676‬</t>
  </si>
  <si>
    <t>344/1, 1st floor
Sri Lakshmi Venkateswara nilaya
8th main
Iti Layout, HSR
560068</t>
  </si>
  <si>
    <t>Bangalore</t>
  </si>
  <si>
    <t>Karnataka</t>
  </si>
  <si>
    <t>06.08.25</t>
  </si>
  <si>
    <t>Dia Yadav</t>
  </si>
  <si>
    <t xml:space="preserve">9989363581
9110366027 </t>
  </si>
  <si>
    <t xml:space="preserve"> Flat no. 401, Vista Pearls, Street no. 3, KLR Venture, Medchal, Hyderabad - 501401 Telangana.
</t>
  </si>
  <si>
    <t xml:space="preserve">Hyderabad </t>
  </si>
  <si>
    <t>Telangana</t>
  </si>
  <si>
    <t>G. Radhakrishna</t>
  </si>
  <si>
    <t>97008 09886</t>
  </si>
  <si>
    <t>D.no. 15-4-29, Opp Saraswati vidya mandir, 
Manglaveedhi, Hindupur, Sathyasai district, 
AP 515201</t>
  </si>
  <si>
    <t>Sathyasai district</t>
  </si>
  <si>
    <t xml:space="preserve">AP </t>
  </si>
  <si>
    <t>Courier_01</t>
  </si>
  <si>
    <t>JDOD</t>
  </si>
  <si>
    <t>07.08.25</t>
  </si>
  <si>
    <t>Sauri Caitanya prabhu</t>
  </si>
  <si>
    <t>83908 06083, 88888 82029</t>
  </si>
  <si>
    <t>ISKCON Kharghar, Sec-23, Nr. Golf Course, 
Opp. Central Park, Kharghar, Navi Mumbai, 
MH 410210</t>
  </si>
  <si>
    <t>Navi Mumbai</t>
  </si>
  <si>
    <t xml:space="preserve">MH </t>
  </si>
  <si>
    <t>Mr. Mahesh Goikari</t>
  </si>
  <si>
    <t>99664 87941</t>
  </si>
  <si>
    <t>ISKCON Miyapur, 2-1/125, Near Saint Rita School, 
Widia Colony, Miyapur, Hyderabad, 
Telangana 500049</t>
  </si>
  <si>
    <t>Hyderabad</t>
  </si>
  <si>
    <t xml:space="preserve">Telangana </t>
  </si>
  <si>
    <t>Courier_02</t>
  </si>
  <si>
    <t>08.08.25</t>
  </si>
  <si>
    <t>Ch.Geeta Gayatri</t>
  </si>
  <si>
    <t xml:space="preserve">  ‪+91 7670912267‬
‪+91 94922 63745‬,</t>
  </si>
  <si>
    <t>Ch.Geeta Gayatri 
QR.No.F1/1 
Mothugudem 
Chintur Mandal 
Alluri Sitharama Raju District 
ASR Dist. - -533347
AP</t>
  </si>
  <si>
    <t>Chintur</t>
  </si>
  <si>
    <t>Andhra Pradesh</t>
  </si>
  <si>
    <t>Krishna kanth</t>
  </si>
  <si>
    <t xml:space="preserve"> 8143337646.
8121871855</t>
  </si>
  <si>
    <t>Krishna kanth
H.no : 51-14-51d, challavari veedhi,
Beside vidhyuth bhavan,
Near New busstand, 
Kurnool-518003</t>
  </si>
  <si>
    <t>Kurnool</t>
  </si>
  <si>
    <t>S. Jaya</t>
  </si>
  <si>
    <t>S. Jaya, 4/1, Sona Nagar, convent road, Alagapuram, Salem, Tamil Nadu 
pin code 636016</t>
  </si>
  <si>
    <t>Salem</t>
  </si>
  <si>
    <t>Tamil Nadu</t>
  </si>
  <si>
    <t>P.v. Ramana rao</t>
  </si>
  <si>
    <t>P.v. Ramana rao 
205, Tonia hights
Near Mana kalyana Vedika 
Kanuru, Vijayawada 
 AP 520007
9397603967</t>
  </si>
  <si>
    <t>Vijayawada</t>
  </si>
  <si>
    <t>Abhishek Harsha</t>
  </si>
  <si>
    <t>7033035154‬</t>
  </si>
  <si>
    <t xml:space="preserve"> Gajadhar Prasad Gupta Home, Near Rahul Kirana, Jogbani Haat, Jogbani
Dist: Araria
State:Bihar, India 
PIN Code:854328</t>
  </si>
  <si>
    <t>Araria</t>
  </si>
  <si>
    <t>Bihar</t>
  </si>
  <si>
    <t>Inder popli</t>
  </si>
  <si>
    <t>Inder popli
Bahawalpur appartment,
Flat no A-104
Sector6, plot no 30.dwarka
New delhi 110075</t>
  </si>
  <si>
    <t>New Delhi</t>
  </si>
  <si>
    <t>Dinanath Narayan Pr</t>
  </si>
  <si>
    <t>09.08.25</t>
  </si>
  <si>
    <t>Mrs.Thamaraiselvi Karthikeyan</t>
  </si>
  <si>
    <t>Door no: 156, Lower camp,
Kunda bridge, Manjoor
 (po) The Nilgiris 
State:- Tamilnadu 
Pincode - 643219</t>
  </si>
  <si>
    <t>Nilgiris</t>
  </si>
  <si>
    <t>ODA</t>
  </si>
  <si>
    <t>Saktinath Makhal</t>
  </si>
  <si>
    <t>Vill + P.O: Morapai
P.S : Usthi
Dist : South 24 pgs
Pin no: 743355</t>
  </si>
  <si>
    <t>South 24 parangas</t>
  </si>
  <si>
    <t xml:space="preserve">Dheeraj Kumar Mishra </t>
  </si>
  <si>
    <t xml:space="preserve"> H.No.777, Sarpanch Colony (near Shiv Mandir), Ward No.1, Bhago Majra, Kharar, Sahibzada Ajit Singh Nagar, Punjab - 140301</t>
  </si>
  <si>
    <t>Mohali</t>
  </si>
  <si>
    <t>Punjab</t>
  </si>
  <si>
    <t xml:space="preserve">  Parth Mandale</t>
  </si>
  <si>
    <t>Parth Mandale, House name - Mandale House,  Kiran Nagar no:- 1, Line no:- 4  Near Hanuman Mandir PIN code:- 444606, Amravati , Maharashtra</t>
  </si>
  <si>
    <t>Amravati</t>
  </si>
  <si>
    <t>Sarva Sakshi Pr</t>
  </si>
  <si>
    <t>11.08.25</t>
  </si>
  <si>
    <t>J.srinivas rao</t>
  </si>
  <si>
    <t>8099997283, 73864 19211‬</t>
  </si>
  <si>
    <t>Flat no.202 
Sai balaji apartments 
Sowbhagyanagar arch
Flora school road 
Vuyyuru 
Pin code 521165</t>
  </si>
  <si>
    <t>Krishna District</t>
  </si>
  <si>
    <t xml:space="preserve"> Loya Lakshmi Prasanna</t>
  </si>
  <si>
    <t>9640852152,
9491474859</t>
  </si>
  <si>
    <t>Flat_979 Ews, 5th floor. Vijaya Lakshmi,  kphb colony , Hyderabad, medchal Malkajgiri, Telangana -500072. Land mark : Near temple bus stop.</t>
  </si>
  <si>
    <t>A. Lilavathi</t>
  </si>
  <si>
    <t>Flat no:302, house no: 8-3-678/3,4,5 
vimalaramam land mark constructions, 
pragathi nagar, 
Yousuf guda, 
Hyderabad. 
Pin 500045</t>
  </si>
  <si>
    <t>D.Renuka Devi</t>
  </si>
  <si>
    <t>9966566246,
8019198440</t>
  </si>
  <si>
    <t>H.no.23-6-846 
Chandulal Bela
Shalibanda
Hyderabad - 500065</t>
  </si>
  <si>
    <t>S.Hema DurgaBhavani</t>
  </si>
  <si>
    <t>9866181625
9490769769</t>
  </si>
  <si>
    <t>W/O Sheelam.  Sai Sundar
D-No : 74-12/2-2/90
Address : New electricity colony, road no 7,Bc boys hostel road,near Auto Nagar Gate, Vijayawada 
Andhra Pradesh 
Pincode: 520007</t>
  </si>
  <si>
    <t>Kanuru</t>
  </si>
  <si>
    <t>Alapati.Naga Raja Lakshmi</t>
  </si>
  <si>
    <t>W/o.A.Lava Kumar (late),
Kattempudi Nagendra swami putta,
kattempudi cross road, 
Dondamudi,
Guntur, (district),
Andhra pradesh -522316.</t>
  </si>
  <si>
    <t>Guntur</t>
  </si>
  <si>
    <t>Renuka Babu Torvat</t>
  </si>
  <si>
    <t>At: Belli belaku
Post:Mainalli
Tq:Mundgod
Pin code: 581 349
District: Uttara Kannada 
State: Karnataka</t>
  </si>
  <si>
    <t>Uttara Kannada</t>
  </si>
  <si>
    <t>Manas Ranjan Malik</t>
  </si>
  <si>
    <t>Kaizen power tech, New medical college,  At-Bhangabari, Po-Uditnarayanpur , Bhawanipatna,  Dist-Kalahandi, Khata No-137, Kalahandi, 766002, Orissa (IN) , India</t>
  </si>
  <si>
    <t>Kalahandi</t>
  </si>
  <si>
    <t>Orissa</t>
  </si>
  <si>
    <t>Odoo</t>
  </si>
  <si>
    <t>Vinod G.R.Nair</t>
  </si>
  <si>
    <t>Vysakh, Kallarathala,Mukkampala mood, Naruvamoode .p.o., Thiruvanathapuram, 695020, Kerala (IN), India</t>
  </si>
  <si>
    <t>Thiruvananthapuram</t>
  </si>
  <si>
    <t>Kerala</t>
  </si>
  <si>
    <t>Sivangula Srinivasa Rao</t>
  </si>
  <si>
    <t>Sri Raghava Nilayam, House no -3-5/54p/55p/56p, 
Road number 20, Alkapuri township, 
Manikonda, Hyderabad, 
Telangana 500089</t>
  </si>
  <si>
    <t>12.08.25</t>
  </si>
  <si>
    <t>Savithri M</t>
  </si>
  <si>
    <t>509, Shri Devi Krupa,
S N Nagar, new extension,
Near Indira Gandhi ladies college,
Post sagar, shivamogga dist, Karnataka state
Pin code  577401,</t>
  </si>
  <si>
    <t>Shivamogga</t>
  </si>
  <si>
    <t xml:space="preserve">Sumit Kundu </t>
  </si>
  <si>
    <t xml:space="preserve">
Sonarpur ,
Nath para,vivekananda Road,P.o Rajpur.kol:-700149.Nearest khakon landri.
9046207095
</t>
  </si>
  <si>
    <t xml:space="preserve">Kolkatta </t>
  </si>
  <si>
    <t>West bengal</t>
  </si>
  <si>
    <t xml:space="preserve">Prabhakar Reddy </t>
  </si>
  <si>
    <t>Chargeman kkrtc yadagiri bus depot near New Bus stand yadagiri 
Pin code 585202
Karnataka</t>
  </si>
  <si>
    <t>Yadgir</t>
  </si>
  <si>
    <t>M.Padma Prasuna</t>
  </si>
  <si>
    <t>9444340260, 8939346336</t>
  </si>
  <si>
    <t>Sahithi Apartments,
2nd floor,Flat No:203,
House No:26-3-2306,
Railway Gateroad,
Vedayapalem,
Nellore,
Potti Sri Ramulu (D.T)
Pin code:524004.</t>
  </si>
  <si>
    <t>Nellore</t>
  </si>
  <si>
    <t>Uma Shaw</t>
  </si>
  <si>
    <t>11/1  Shasi  Bhusan  Dey St,
Kolkta. 700012.
West Bengal 
Language :-Bengali SB SET 
phn no:-7003881951</t>
  </si>
  <si>
    <t>Kolkatta</t>
  </si>
  <si>
    <t>Prerana Latne Mtji</t>
  </si>
  <si>
    <t>Susmita Adhikary</t>
  </si>
  <si>
    <t>11, Joy Narayan Chandra lane, 
Kolkata- 700009
West Bengal 
Language :-1SB set Bengali Phn no:-7003881951</t>
  </si>
  <si>
    <t xml:space="preserve">Shiuli Gain </t>
  </si>
  <si>
    <t>7003881951/8759886525</t>
  </si>
  <si>
    <t xml:space="preserve">W/O-Manotosh Gain,
Vill:-Par Krishnachandrapur,
P.O.:-Krishnachandrapur,
P.S:-Bagdah,par krishnachandrapur,North 24 Paragans,West Bengal 
PIN-743251
Phn no:-7003881951/8759886525
</t>
  </si>
  <si>
    <t>North 24 Paragans</t>
  </si>
  <si>
    <t>14.08.25</t>
  </si>
  <si>
    <t>Arnab Mandal</t>
  </si>
  <si>
    <t>Baghadanga, Samudragarh,Purba Barddhaman,West Bengal
Pincode :713519</t>
  </si>
  <si>
    <t>Raipur</t>
  </si>
  <si>
    <t>M.s.s.vikas</t>
  </si>
  <si>
    <t>7396026842,
‪+91 77806 33302‬</t>
  </si>
  <si>
    <t>M.s.s.vikas, door no.401, opposite to chinmayee kids school, Sri chakra apartments, Anand nagar colony, khairatabad
Hyderabad 500004</t>
  </si>
  <si>
    <t xml:space="preserve">Kollipara Uma Mahesh Babu </t>
  </si>
  <si>
    <t>93926 22226
93925 22226</t>
  </si>
  <si>
    <t>Kollipara Uma Mahesh Babu 
New D no: 22-148  
D.No 4-16-87, 
Bharat Pet 3rd Lane
Amaravati Road
Guntur 522002
Andhra Pradesh
India</t>
  </si>
  <si>
    <t xml:space="preserve">Guntur </t>
  </si>
  <si>
    <t xml:space="preserve">GOPIKRISHNA GUNDLAPALLI </t>
  </si>
  <si>
    <t xml:space="preserve"> Villa 82, Gardenia Grove Villas,  Ramky Discovery City,  Lemoor Road,  Saraswathi Guda,  Tukkuguda , PIN 501359 
Rangareddy District,  Telengana </t>
  </si>
  <si>
    <t>Rangareddy</t>
  </si>
  <si>
    <t>Pinnamani Radhakrishna</t>
  </si>
  <si>
    <t xml:space="preserve">9848028691,
9603768691
</t>
  </si>
  <si>
    <t>Pinnamani Radhakrishna Jaganmadapuram Gopalapuram Mandal 
East Godavari District
 Pin Code = 534312 
AP</t>
  </si>
  <si>
    <t>East Godavari</t>
  </si>
  <si>
    <t>Davuluri Gopalarao</t>
  </si>
  <si>
    <t>9912605673, 8247448831</t>
  </si>
  <si>
    <t>Davuluri Gopalarao
2-9/3, Rajupothepalli, Tedlam post, T. Narasapuram mandal, Eluru district, Andhrapradesh - 534461
Ph no : 9912605673, 8247448831</t>
  </si>
  <si>
    <t>Eluru</t>
  </si>
  <si>
    <t>Kagitha srinivasarao</t>
  </si>
  <si>
    <t>Kagitha srinivasarao 
S/o Veeraswami 
1-155
Near  school
Chadarasigunta
Nallajerla mandal
East godavari district (A P)
PIN 534176
PH 9912549516</t>
  </si>
  <si>
    <t>Yogeesha Aswatha</t>
  </si>
  <si>
    <t>Yogeesha Aswatha
Flat
No.012, #1733, Padmavathy Paradise BEML Layout, Thubharahalli, Bengaluru
-560066</t>
  </si>
  <si>
    <t>Whitefield</t>
  </si>
  <si>
    <t xml:space="preserve">Jalpa parag Makwana </t>
  </si>
  <si>
    <t>Jalpa parag Makwana 
To. Surendranagar 
Sadanand park 3, near Dhirubhai Wadi,
Khamisana road,
Dalmil. Surendranagar P. 363001</t>
  </si>
  <si>
    <t>Surendranagar</t>
  </si>
  <si>
    <t>Gujarat</t>
  </si>
  <si>
    <t>DIPAK MALL</t>
  </si>
  <si>
    <t>GOVIND BHAWAN
NEW PLOT AREA, NO SHOOTING
GHOSH SWEETS LANE
PO-SALUA
DISTT-PASCHIM MEDINIPUR 
PIN-721145(WB)</t>
  </si>
  <si>
    <t>Midnapore</t>
  </si>
  <si>
    <t>Prabhu Prya</t>
  </si>
  <si>
    <t>79910 53453‬</t>
  </si>
  <si>
    <t>At/PO-Nachhipura, PS -TOMKA, JAJPUR,ODISHA, PIN-755019</t>
  </si>
  <si>
    <t>Jajpur</t>
  </si>
  <si>
    <t>Odisha</t>
  </si>
  <si>
    <t>Bithika Roy Barman</t>
  </si>
  <si>
    <t>C/O :- Bhupesh Ch. Barman,
Vill,+P. O.-Milanpara,
NS Road,Kaliyaganj,
Dist.-Uttar Dinajpur ,
Pin-733129</t>
  </si>
  <si>
    <t>North Dinajpur</t>
  </si>
  <si>
    <t>17.08.25</t>
  </si>
  <si>
    <t>Vitthal Vishnu Pr</t>
  </si>
  <si>
    <t xml:space="preserve">Radha Kunj, Ramkrishna puram society, in front of ITI College, Koni 495009 </t>
  </si>
  <si>
    <t>Bilaspur</t>
  </si>
  <si>
    <t>Chhattisgarh</t>
  </si>
  <si>
    <t>Ujjwal Nilamani Pr</t>
  </si>
  <si>
    <t>19.08.25</t>
  </si>
  <si>
    <t>DN Sastry</t>
  </si>
  <si>
    <t>DN Sastry
OLD MIG -125, Phase -1
BHEL,
Lingampally,
Hyderabad,
502032
Near C park, Durgamma gudi</t>
  </si>
  <si>
    <t xml:space="preserve">Meenakshi panda </t>
  </si>
  <si>
    <t>Meenakshi panda 
Narasimha homes 208 
Vuda colony, phase 1 VIZIANAGARAM, 
ANDHRA PRADESH 535003 India</t>
  </si>
  <si>
    <t>VIZIANAGARAM</t>
  </si>
  <si>
    <t>Ayyadapu Sudeshna</t>
  </si>
  <si>
    <t xml:space="preserve">Ayyadapu Sudeshna 
Plot no,59 
Manasa vihar 
Hyd road  
Nalgonda pin no 508001 </t>
  </si>
  <si>
    <t>Nalgonda</t>
  </si>
  <si>
    <t xml:space="preserve">P LAXMIKANTAM </t>
  </si>
  <si>
    <t>7978039543,
7008339891</t>
  </si>
  <si>
    <t>P LAXMIKANTAM 
W/O. P PENTAYYA 
GOUTAM NAGAR 
4TH LANE,
RAYAGADA-765001
ORISSA</t>
  </si>
  <si>
    <t>Rayagada</t>
  </si>
  <si>
    <t>M. Eswara prasad</t>
  </si>
  <si>
    <t>9642455308, 9642455125</t>
  </si>
  <si>
    <t>M. Eswara prasad, 
8-26 behind mayabazaar 
tiruchanoor road 
Tirupati 517501. 
AP</t>
  </si>
  <si>
    <t>Tirupati</t>
  </si>
  <si>
    <t>Cancelled</t>
  </si>
  <si>
    <t xml:space="preserve">Nikita desai </t>
  </si>
  <si>
    <t>Nikita desai 
Radha govind pg girl's Gopal pura 10b 380 b
Jaipur Rajasthan 
Pincode:302018</t>
  </si>
  <si>
    <t>Jaipur</t>
  </si>
  <si>
    <t>Rajasthan</t>
  </si>
  <si>
    <t>Shyamal naskar</t>
  </si>
  <si>
    <t>9007089114/
7318969905</t>
  </si>
  <si>
    <t>Shyamal naskar
Father name: subhankar naskar
Village:uttar krishna pur 
Post: Dodalira 
Police station:mograhat
District :South 24 Parganas
Pin:743609</t>
  </si>
  <si>
    <t>South 24 Parangas</t>
  </si>
  <si>
    <t>Goutam Ghosh</t>
  </si>
  <si>
    <t>8335971368/7003881951</t>
  </si>
  <si>
    <t>Goutam Ghosh
Add:- Hose name SopnoNir
vill+po+police station- Kandi
Dist- Murshidabad PIN:-742137 
Petrolpump B-.Ba-DI-Club
Near Shoni Mondir</t>
  </si>
  <si>
    <t>Murshidabad</t>
  </si>
  <si>
    <t>Sukh charan Barman</t>
  </si>
  <si>
    <t>7001874228/7003881951</t>
  </si>
  <si>
    <t>Sukh charan Barman.
Add:- Sudarshanpur Raiganj Opposite Hotel Ambassy near Kali tola. 
P.o. :-Raiganj
 Dist  :-Uttar Dinajpur.
 Pincode :-733134</t>
  </si>
  <si>
    <t>Uttar Dinajpur</t>
  </si>
  <si>
    <t xml:space="preserve">Payel Sadhu </t>
  </si>
  <si>
    <t xml:space="preserve">Payel Sadhu 
Add:- Raniganj 
N.S.B.Road,
Raniganj, 
Near Canara Bank Opposite of Hotel Nilkanth 
Post :Raniganj 
Pin no:- 713347
Dist:- West Bardhaman
State:-West Bengal </t>
  </si>
  <si>
    <t>Raniganj</t>
  </si>
  <si>
    <t>Subhajit Kundu</t>
  </si>
  <si>
    <t xml:space="preserve"> 75850 56151‬, 90643 02137‬</t>
  </si>
  <si>
    <t xml:space="preserve">Subhajit Kundu
Village - Manjmura 
Post office - Ramharipur
Police station - Barjora
District - Bankura 
State - West Bengal
Pin code -722203
Landmark - Near Manjmura Junior High School </t>
  </si>
  <si>
    <t>Palash Adhikary</t>
  </si>
  <si>
    <t xml:space="preserve">Palash Adhikary ( Paramgati Gour Das )
Address: Gopalpur Uttar Para, Sukanta pally near Annapurna  Muri meal , Pin - 713212, District- Paschim Bardhaman
West Bengal </t>
  </si>
  <si>
    <t>Bardhaman</t>
  </si>
  <si>
    <t>M.JANAKI SASTRY</t>
  </si>
  <si>
    <t>‪+91 8921148340‬, 9444340260</t>
  </si>
  <si>
    <t>M.JANAKI SASTRY
Flat 6A , SFS Mynt 
Marappalam road , Pattom , 
Trivandrum , Kerala , India - 695004</t>
  </si>
  <si>
    <t>Priti Bhale</t>
  </si>
  <si>
    <t>Priti Bhale
8B-407,  Provident Sunworth Appintment,
Dodabelle main road, Kengeri, 
Banglore - 560060</t>
  </si>
  <si>
    <t xml:space="preserve"> Karnataka</t>
  </si>
  <si>
    <t>Siba Barman</t>
  </si>
  <si>
    <t>8016113696
7797848464
 8768226286</t>
  </si>
  <si>
    <t xml:space="preserve"> Siba Barman, New Subhash Pally Jaigaon. West Bengal Dist-alipurduar. Pin - 736182
West Bengal 
</t>
  </si>
  <si>
    <t>Jaigaon</t>
  </si>
  <si>
    <t>21.08.25</t>
  </si>
  <si>
    <t>Bhavya jha</t>
  </si>
  <si>
    <t>Bhavya jha
Address: Shastri Nagar, near Bara Shiv Mandir, Bara Bahera, Konnagar, hoogly 
Pin code: 712246
State : West bengal
Phone no : 62904 53887</t>
  </si>
  <si>
    <t>Hoogly</t>
  </si>
  <si>
    <t>M R Sunilkumar</t>
  </si>
  <si>
    <t xml:space="preserve"> 85500 90237</t>
  </si>
  <si>
    <t># 460 EWS GHS 707
4th phase, 4 th cross
Yelahanka, New town 
Bangalore -64
Phone no 85500 90237
560064</t>
  </si>
  <si>
    <t>Mithun Deora</t>
  </si>
  <si>
    <t>Room no 26/255 Mahavir Nagar opposite petrol pump Kandivali West 400067 Mumbai</t>
  </si>
  <si>
    <t xml:space="preserve">Mumbai </t>
  </si>
  <si>
    <t xml:space="preserve">Chandan Das </t>
  </si>
  <si>
    <t>83685 02673</t>
  </si>
  <si>
    <t xml:space="preserve"> Hause no-22, Gali no-16 Tughlakabad village chhuriya mohalla, Durga mandir road 
Pin code : 110044
State : New Delhi 
Phone no : 83685 02673</t>
  </si>
  <si>
    <t>South Delhi</t>
  </si>
  <si>
    <t>Delhi</t>
  </si>
  <si>
    <t>22.08.25</t>
  </si>
  <si>
    <t xml:space="preserve">Aishwarya Ramasubramanian </t>
  </si>
  <si>
    <t>A/6, Aishwarya CHS Shastri Nagar Devi Chowk Dombivli West -421202
Maharashtra</t>
  </si>
  <si>
    <t>Thane</t>
  </si>
  <si>
    <t>Y. Gopal Reddy</t>
  </si>
  <si>
    <t>W/o Y. S. Lakshmi 
H/N 15/1291
Sanjeevnagar 1st road, beside Gayathridevi temple
Tadipatri 
Ananantpur district 
Andrapradesh
Pin 515411</t>
  </si>
  <si>
    <t>Tadpatri</t>
  </si>
  <si>
    <t>C. Sudharshan Reddy</t>
  </si>
  <si>
    <t>C. Sudharshan Reddy 
H/no16/414
Nandalapadu 
Tadipatri (Mandal )
Anantapur (Dist)
Pin code 515411</t>
  </si>
  <si>
    <t>Anjan Sharma</t>
  </si>
  <si>
    <t>9329817980, 9926032592</t>
  </si>
  <si>
    <t>1060/4, Bhagirath Pura, Indore, Madhya Pradesh, Pin- 452003</t>
  </si>
  <si>
    <t>Indore</t>
  </si>
  <si>
    <t>JD Collection // Whatsapp</t>
  </si>
  <si>
    <t>Snehal Jariwala</t>
  </si>
  <si>
    <t>Hawadiya Chakla, Gopipura, 10/1132B, Kanaiyalal Desai Road, Surat, Gujarat, India</t>
  </si>
  <si>
    <t>Surat</t>
  </si>
  <si>
    <t>23.08.25</t>
  </si>
  <si>
    <t xml:space="preserve">Pinnamani Radhakrishna </t>
  </si>
  <si>
    <t>9848028691,
9603768691</t>
  </si>
  <si>
    <t>Koyyalagudem</t>
  </si>
  <si>
    <t>Chavala. Ramalakshmi</t>
  </si>
  <si>
    <t>9666958506,
9390296538</t>
  </si>
  <si>
    <t>Chavala. Ramalakshmi
H No: 4-89
 Dippakayalapadu village,
 Chinna Ramalayam temple Street
Eluru district, Koyyalagudem mandal,
 pincode-534312,
AP</t>
  </si>
  <si>
    <t xml:space="preserve">Lokeswara Rao Kadiyala </t>
  </si>
  <si>
    <t>6302912083
7993255988</t>
  </si>
  <si>
    <t xml:space="preserve">Lokeswara Rao Kadiyala 
Flat no 403, Y S BLOCK, DOLPHIN ESTATES, KAMAYAIAH THOUPU CENTRE, KANURU-520007 , KRISHNA DISTRICT,  VIJAYAWADA, ANDHRA PRADESH, INDIA </t>
  </si>
  <si>
    <t xml:space="preserve">Subhendu Sekhar Naik </t>
  </si>
  <si>
    <t>Subhendu Sekhar Naik 
C/O- Suresh Chandra Naik
At/po - Banarpal,pin - 759128, Near Saraswati shishu mandir,Amba sahi</t>
  </si>
  <si>
    <t>Banarpal</t>
  </si>
  <si>
    <t>Raja Dutta</t>
  </si>
  <si>
    <t> 9800876902</t>
  </si>
  <si>
    <t>Raja Dutta, DVC, Mayapur, Kharagpur, P. O. Talbagicha, P. S. Kharagpur, Dist. Pashchim Medinipur, W. B. PIN 721306</t>
  </si>
  <si>
    <t>Kharagpur</t>
  </si>
  <si>
    <t>25.08.25</t>
  </si>
  <si>
    <t>Mayank</t>
  </si>
  <si>
    <t>Nagla Gopal, P.O. : Bachhamadi, P.S. : Chiksana, District : Bharatpur 321001, Rajasthan
Pincode - 321001</t>
  </si>
  <si>
    <t>Bharatpur</t>
  </si>
  <si>
    <t xml:space="preserve"> Rajasthan</t>
  </si>
  <si>
    <t xml:space="preserve">Vishwakirti Pr </t>
  </si>
  <si>
    <t xml:space="preserve">Bikas </t>
  </si>
  <si>
    <t>432, Godavari Hostel, Near Tharamani, IIT Madras, Chennai, Tamil Nadu-600036</t>
  </si>
  <si>
    <t xml:space="preserve">Chennai </t>
  </si>
  <si>
    <t xml:space="preserve">Aporva </t>
  </si>
  <si>
    <t>16, Tavarekere Main Rd, opposite Yamaha service centre, above Shara fitness, Tavarekere, Venkateshwara Layout, S.G. Palya, Bengaluru, Karnataka 560029</t>
  </si>
  <si>
    <t xml:space="preserve">Bengaluru </t>
  </si>
  <si>
    <t>Dilip Kumar</t>
  </si>
  <si>
    <t>Sisauni prabodhi post -Sarai, District -vaishali, Bihar, pin-844125</t>
  </si>
  <si>
    <t>Vaishali</t>
  </si>
  <si>
    <t>Soham</t>
  </si>
  <si>
    <t>Ambika Bhawan, Nayachowk, Near Sunadei Temple, Madhupatna, Cuttack, Odisha, Pin-753010</t>
  </si>
  <si>
    <t>Cuttack</t>
  </si>
  <si>
    <t xml:space="preserve">Samrat Dutta </t>
  </si>
  <si>
    <t>C Block 8 Ground floor Jagruti Vihar MCL Burla Sambalpur Odisha -768020</t>
  </si>
  <si>
    <t>Sambalpur</t>
  </si>
  <si>
    <t>Satyajit</t>
  </si>
  <si>
    <t>Room No: 4414, Executive Centre, IIM Lucknow, Noida Campus, B 1, Sector 62, Institutional Area, Plot No. B-1, Sector-62, Noida, Uttar Pradesh PIN: 201307</t>
  </si>
  <si>
    <t>Noida</t>
  </si>
  <si>
    <t>Uttar Pradesh</t>
  </si>
  <si>
    <t>Rajinikant Rana</t>
  </si>
  <si>
    <t>Shivranjani building room 304, Near powai engish high school Gokhale nagar. 400076</t>
  </si>
  <si>
    <t>Bharat</t>
  </si>
  <si>
    <t>C-13,PB Project Colony, Putki, P.O.- Kusunda, DHANBAD, JHARKHAND 828116 ,India</t>
  </si>
  <si>
    <t>Dhanbad</t>
  </si>
  <si>
    <t>Jharkhand</t>
  </si>
  <si>
    <t>KS Subramanyam</t>
  </si>
  <si>
    <t>Door no 12-2-416/36, Ground floor, Ushodaya colony, Gudimalkapur, Hyderabad, 500028</t>
  </si>
  <si>
    <t> 500028</t>
  </si>
  <si>
    <t>Abhiditya S. Rawal</t>
  </si>
  <si>
    <t>A/M 36 sukhaliya ,Indore, MP 452010</t>
  </si>
  <si>
    <t>Rathan</t>
  </si>
  <si>
    <t>Vanarasi Meraka ,Nagaram ,Mamidikuduru Mandal,Dr.B.R.Ambedkar Konaseema District ,D.No 5-56/2, Andhra Pradesh, pincode:533247</t>
  </si>
  <si>
    <t xml:space="preserve">East Godavari </t>
  </si>
  <si>
    <t>Suneendra</t>
  </si>
  <si>
    <t>Rohan Grand Mens Pg, Anjiaih Nagar, Gachibowli, Anjaiah Nagar, Gachibowli, Hyderabad, Telangana, India,Pincode: 500081</t>
  </si>
  <si>
    <t>Madhusudan</t>
  </si>
  <si>
    <t>Henal Aroo Apartment, Jharsa, Saini Pura, Sector 39, Gurugram, Haryana 122003</t>
  </si>
  <si>
    <t>Gurugram</t>
  </si>
  <si>
    <t>Haryana</t>
  </si>
  <si>
    <t>Mrs. Hema Hanagandi</t>
  </si>
  <si>
    <t>Mrs. Hema Hanagandi
Mahavir Colony
Jkd-Kudachi Road
Jamkhandi-587301
Dist;Bagalkote
Karnataka State</t>
  </si>
  <si>
    <t>Bagalkote</t>
  </si>
  <si>
    <t>Dilip Gunjegaonkar Pr</t>
  </si>
  <si>
    <t>Sachidananda Sethi</t>
  </si>
  <si>
    <t>Geetagram, caltax chhaka Infront of kathagola 
ANGUL, ODISHA 759123 India</t>
  </si>
  <si>
    <t>Angul</t>
  </si>
  <si>
    <t>Maniraj Neemai Pr // Braj Vilas Pr</t>
  </si>
  <si>
    <t xml:space="preserve">Kanak manjari Sahoo </t>
  </si>
  <si>
    <t>At/po:- Anandapur 
(Near B.N.High school 
Way to sishu mandir road)
Dist:- Keonjhar 
State :- Odisha
Pin:-  758021</t>
  </si>
  <si>
    <t xml:space="preserve">Keonjhar </t>
  </si>
  <si>
    <t>Rinku Paul</t>
  </si>
  <si>
    <t>Rinku Paul
D NO 169
VILL &amp; P O CHAMTILLA
DIST - KARIMGANJ
ASSAM 788736</t>
  </si>
  <si>
    <t>KARIMGANJ</t>
  </si>
  <si>
    <t>ASSAM</t>
  </si>
  <si>
    <t xml:space="preserve">Rajendra Kulkarni </t>
  </si>
  <si>
    <t>97381 20666, 8951935224</t>
  </si>
  <si>
    <t>Rajendra Kulkarni 
H.No. 725/D
1st floor,”Surabhi”,
Anikethan Road,
13 th cross, C &amp; D block 
kuvempunagar ,
Mysore 570023
Landmark- Opposite road of Pantaloons shop</t>
  </si>
  <si>
    <t>Mysore</t>
  </si>
  <si>
    <t>Lila Vilas Pr</t>
  </si>
  <si>
    <t xml:space="preserve">V. MURALIKRISHNA </t>
  </si>
  <si>
    <t xml:space="preserve"> 8074144325, 9014609823</t>
  </si>
  <si>
    <t xml:space="preserve">H.NO : 6-3-55
F NO : 202
SRI HARSHA APARTMENT 
BESIDE: RAVICHANDRA TOWERS
BANK COLONY
KHAMMAM- 507002
TELANGANA STATE </t>
  </si>
  <si>
    <t>Khammam</t>
  </si>
  <si>
    <t>8-26 behind mayabazaar 
tiruchanoor road 
Tirupati 517501. 
AP</t>
  </si>
  <si>
    <t xml:space="preserve">Preeti Zunzunwala </t>
  </si>
  <si>
    <t xml:space="preserve">Saraswati nagar,
Akola road naka,
Behind kishor dal mill,
Hingoli:- 431513
Maharashtra </t>
  </si>
  <si>
    <t>Hingoli</t>
  </si>
  <si>
    <t xml:space="preserve">Neeraj Misra </t>
  </si>
  <si>
    <t>Mishra Bhawan 
Dhani Ram Mishra Marg 
Kotdwar ( pauri - Garhwal) pin 246149</t>
  </si>
  <si>
    <t>Pauri Garhwal</t>
  </si>
  <si>
    <t>Uttarakhand</t>
  </si>
  <si>
    <t>Balaraj Naik Pr</t>
  </si>
  <si>
    <t>Swetalin Das</t>
  </si>
  <si>
    <t>Plot no - 208/917,
Swarna Nivas,
Kolathia, Aiginia, Khandagiri Vihar, 
District Khordha,
Bhubaneswar,
Odisha- 751019</t>
  </si>
  <si>
    <t>Khurda</t>
  </si>
  <si>
    <t xml:space="preserve">Orissa </t>
  </si>
  <si>
    <t>NAGENDRA KUMAR KOTA</t>
  </si>
  <si>
    <t>PM PALEM, THE RESIDENCY, FNO. 1A, BLOCK-A, PM PALEM, Visakhapatnam, 530041, Andhra Pradesh (IN), India</t>
  </si>
  <si>
    <t>Visakhapatnam</t>
  </si>
  <si>
    <t>SAMEER KUMAR KURREY</t>
  </si>
  <si>
    <t>C40 KOEL NAGAR ROURKELA, NEAR C-NET, ROURKELA, 769014, Orissa (IN), India</t>
  </si>
  <si>
    <t>ROURKELA</t>
  </si>
  <si>
    <t>Orissa (IN)</t>
  </si>
  <si>
    <t>26.08.25</t>
  </si>
  <si>
    <t>Swathi Eswaramoorthy</t>
  </si>
  <si>
    <t xml:space="preserve"> ‪9655660605</t>
  </si>
  <si>
    <t>House No 2, 1st floor, KKS House
Muthu Nagar, Chinnandan Kovil Road
Karur, TAMIL NADU 639002
India</t>
  </si>
  <si>
    <t>Karur</t>
  </si>
  <si>
    <t>Manirj Neemai Pr // Braj Vilas Pr</t>
  </si>
  <si>
    <t>Poonam Agrawal</t>
  </si>
  <si>
    <t>1st floor Goyal Nivas Kunj Bihari colony near BKD hostel jhansi (U.P)284001</t>
  </si>
  <si>
    <t>Jhansi</t>
  </si>
  <si>
    <t xml:space="preserve">Madhumita Mohapatra </t>
  </si>
  <si>
    <t xml:space="preserve">Ramachandrapur Bazar 
Near_R.C.M.S jatani
Khurdha
 Pin_752050 Odisha </t>
  </si>
  <si>
    <t>Jatni</t>
  </si>
  <si>
    <t>Nabakumar Maity</t>
  </si>
  <si>
    <t>9123619397/7003881951</t>
  </si>
  <si>
    <t>S/O:Kartick Maity
         MAHISGHATA,Bandhpara, Near Hanuman Temple.
Kheput,
Dist.:-Paschim Medinipur
West Bengal 
PIN:-721148</t>
  </si>
  <si>
    <t>Paschim Medinipur</t>
  </si>
  <si>
    <t xml:space="preserve">West Bengal </t>
  </si>
  <si>
    <t xml:space="preserve">Mrs. Sutha Sivalingam </t>
  </si>
  <si>
    <t>9345007779, 
9445274309</t>
  </si>
  <si>
    <t>W/o S. Shivalingam
84.no New muthu sherwai Street. Madurai veeran Kovil near. B k Pudur 
Kuniyamuthur. (Post,)
Coimbatore. 641008</t>
  </si>
  <si>
    <t>Coimbatore</t>
  </si>
  <si>
    <t>Rupali Aggarwal</t>
  </si>
  <si>
    <t>B-101 ,green Lotus Avenue, Singhpura chowk, Green Lotus Avenue Zirakpur, 140603, Punjab (IN), India</t>
  </si>
  <si>
    <t>zirakpur</t>
  </si>
  <si>
    <t>28.08.25</t>
  </si>
  <si>
    <t>Shaila S Nayak</t>
  </si>
  <si>
    <t>House no 141
Near New Bus Stand, Suprasanna Nagar, 
Post: Manajavalli 
Taluk: Sirsi
Dist  Uttara Kannada(karwar)
 Pin: 581402</t>
  </si>
  <si>
    <t>Sirsi</t>
  </si>
  <si>
    <t>Arabinda Biswal</t>
  </si>
  <si>
    <t>Sub-division office Electrical. TPCODL At-S.B.Gopalpur Po-Rajnagar Dist-Kendrapara Pin-754225</t>
  </si>
  <si>
    <t>Rajnagar</t>
  </si>
  <si>
    <t>KRISNA PREMA MURTY DAS</t>
  </si>
  <si>
    <t>H.NO.3/224  NAGULAMANU STREET,  
RAJAMPETA( Post), 
YSR KADAPA 
Dist. PIN- 516115
ANDHRA PRADESH 
India.</t>
  </si>
  <si>
    <t>Rajampet</t>
  </si>
  <si>
    <t>Ajit Kumar Ghosh</t>
  </si>
  <si>
    <t>8670706804/ 7584901804/ 7003881951</t>
  </si>
  <si>
    <t>C/O- Late - Satish Chandra Ghosh 
Vill.:-Kota
P.O.-Rajganja
P.S -Chandrakona 
DIST. - Paschim Medinipur,
West Bengal 
PIN - 721201</t>
  </si>
  <si>
    <t>West Medinipur</t>
  </si>
  <si>
    <t>Sandha rani shadangi</t>
  </si>
  <si>
    <t>Flat No-114, B-block, Rajarani Residency, Andhapasara road, Gosaninuagaon, Berhampur, Ganjam,Odisha, India Pin-760002</t>
  </si>
  <si>
    <t>Berhampur City</t>
  </si>
  <si>
    <t>Madan Sundar Pr // Ashok Pr Hinjewadi</t>
  </si>
  <si>
    <t>29.08.25</t>
  </si>
  <si>
    <t>HC/GD B Nagendra</t>
  </si>
  <si>
    <t>6305652972, 
9353955355</t>
  </si>
  <si>
    <t>Group Centre CRPF
Camp Barkas
Chandrayana Gutta
Hyderabad - 500005
Telangana</t>
  </si>
  <si>
    <t>West Midnapore</t>
  </si>
  <si>
    <t>Malti Singh</t>
  </si>
  <si>
    <t>Banjari vitbherwan road,Vitbhewan ward-15 Near genius school,Gopalganj,841428,Bihar (IN),India</t>
  </si>
  <si>
    <t>Gopalganj</t>
  </si>
  <si>
    <t>Ravikala Kailash Deshpande</t>
  </si>
  <si>
    <t>Near Isolation Hospital, 29 B Ward ,Samarth,Jyotirling Nagar, Kolhapur, 416012, Maharashtra (IN), India</t>
  </si>
  <si>
    <t xml:space="preserve">Kolhapur </t>
  </si>
  <si>
    <t>Akshay Prakash Nakhate</t>
  </si>
  <si>
    <t>77986 45566</t>
  </si>
  <si>
    <t>Nakhate Bangla, Juna Gaothan, near Kamshet Railway Station, 
A/P-Kamshet, Taluka-Mawal, District-Pune 410405</t>
  </si>
  <si>
    <t xml:space="preserve">Pune </t>
  </si>
  <si>
    <t>MH</t>
  </si>
  <si>
    <t>Jdod</t>
  </si>
  <si>
    <t xml:space="preserve">Dhananjay Raghunath Mengane </t>
  </si>
  <si>
    <t>95619 15114</t>
  </si>
  <si>
    <t>A/p: Nilpan Tal: Bhudargad  
Dist: Kolhapur 416223</t>
  </si>
  <si>
    <t>Aniket shahane</t>
  </si>
  <si>
    <t>86981 94051</t>
  </si>
  <si>
    <t>Anusaya Niwas, Opp. Ashtabhuja Devi Mandir, 
Gandhi Park, Parbhani 431401</t>
  </si>
  <si>
    <t xml:space="preserve">Parbhani </t>
  </si>
  <si>
    <t>Courier_03</t>
  </si>
  <si>
    <t>Sanjay Jainwar</t>
  </si>
  <si>
    <t>94236 19856</t>
  </si>
  <si>
    <t>Sanjay Kirana stores, main road, 
asaralli, sironcha, Gadchiroli Maharashtra 442504</t>
  </si>
  <si>
    <t xml:space="preserve">Gadchiroli </t>
  </si>
  <si>
    <t>Courier_04</t>
  </si>
  <si>
    <t>Ashish Phuse</t>
  </si>
  <si>
    <t>73871 08785</t>
  </si>
  <si>
    <t>Hari om clinic, near gram panchayat, 
Masrul, Buldana, MH 443106</t>
  </si>
  <si>
    <t>Buldana</t>
  </si>
  <si>
    <t>Courier_05</t>
  </si>
  <si>
    <t xml:space="preserve">Sagar Indrajit Jadhav </t>
  </si>
  <si>
    <t>87961 08308</t>
  </si>
  <si>
    <t>Mystic D-504, Megapolis, Hinjewadi Phase -3, 
Pune, MH 411057</t>
  </si>
  <si>
    <t>Pune</t>
  </si>
  <si>
    <t>Courier_06</t>
  </si>
  <si>
    <t>Nayan Patil</t>
  </si>
  <si>
    <t>99601 59749</t>
  </si>
  <si>
    <t>Srinidhi enclave flat 102, 1st floor, ISKCON South Bengaluru, 
3rd Main Road, Samvruddi Enclave, 2nd Stage, 
Kumaraswamy Layout, Bengaluru, Karnataka 560078</t>
  </si>
  <si>
    <t>Bengaluru</t>
  </si>
  <si>
    <t xml:space="preserve">Karnataka </t>
  </si>
  <si>
    <t>Courier_07</t>
  </si>
  <si>
    <t>Shrinidhi K</t>
  </si>
  <si>
    <t>97410 06544</t>
  </si>
  <si>
    <t>sahyadri house, behind Fmc college, madikeri, 
kodagu district, karnataka 571201</t>
  </si>
  <si>
    <t>kodagu district</t>
  </si>
  <si>
    <t xml:space="preserve">karnataka </t>
  </si>
  <si>
    <t>Courier_08</t>
  </si>
  <si>
    <t>30.08.25</t>
  </si>
  <si>
    <t xml:space="preserve">Haribabu Sirandas </t>
  </si>
  <si>
    <t>‪+91 98483 82678‬,
9444340260</t>
  </si>
  <si>
    <t>22-4-65/4 Bank Employees Colony,
(Next to DLR Grand)
Karakambadi Road
Tirupati 517501</t>
  </si>
  <si>
    <t xml:space="preserve">Bhagyashree S Jayakar </t>
  </si>
  <si>
    <t xml:space="preserve"> 70191 23833‬</t>
  </si>
  <si>
    <t>H. No.3-5-106/1 "Matru krupa"
Asar mohalla
Market road
Yadgiri-585201
Karnataka</t>
  </si>
  <si>
    <t>B.Eswari</t>
  </si>
  <si>
    <t>W/o G.Subbarayudu.                                
Cherukuri Group 
Vijayvihar-2.  
Plot No-42,                                           
Door No.4-123/8/37.                                    
Flat No-22.                                         
Anjanadrinagar.                                 
Near Hanuman Temple                    
Hathiguda                                         
Ranga reddy District.                        
Telangana.Pin code 501505.</t>
  </si>
  <si>
    <t>Hayatnagar</t>
  </si>
  <si>
    <t>E. Aruna kumari</t>
  </si>
  <si>
    <t>door no. 22/292-47
Ankalam temple back side.  Near beerapaa circle Guntakal-515801
Anantapur district</t>
  </si>
  <si>
    <t>Anantapur</t>
  </si>
  <si>
    <t xml:space="preserve">Lakshmi Devi </t>
  </si>
  <si>
    <t>H.No-1/137A
Red building,Gadikota road
Veeraballi 
Annamayya district 
Pincode -516268</t>
  </si>
  <si>
    <t>Cuddapah</t>
  </si>
  <si>
    <t>6260293756, 
9131500183</t>
  </si>
  <si>
    <t>Gali no 2 behind Beyond Fitness Gym, Mandi Road 
City Dhamnod MP,
Pin code 454552</t>
  </si>
  <si>
    <t>Thalli Sravanthi</t>
  </si>
  <si>
    <t>8985747323,
9640029565.</t>
  </si>
  <si>
    <t>H .no 10-69/1,Pregnapur. jagdevpur road .
District  :Siddipet 
Telangana ,502311.
8985747323.
9640029565.</t>
  </si>
  <si>
    <t>Medak</t>
  </si>
  <si>
    <t>K. N. Shanthi</t>
  </si>
  <si>
    <t xml:space="preserve"> 9448401175 / 9448401150</t>
  </si>
  <si>
    <t>W/O Somesh gowda,
District Chief Reporter,
Sri Benaka Nilaya,
MIG I - 36, opp gowdru chicken Center, 2nd stage, 16th cross, Kuvempu Nagar,
HASSAN. 573201.</t>
  </si>
  <si>
    <t>Hassan</t>
  </si>
  <si>
    <t>Mr. Laxmi Kant Tiwari</t>
  </si>
  <si>
    <t>7223889351,
7987127929</t>
  </si>
  <si>
    <t>In front of bjp office, near center point hotel, 
T.P Nagar 
Korba
Chattisgarh
Pin code 495677</t>
  </si>
  <si>
    <t>Korba</t>
  </si>
  <si>
    <t>Chattisgarh</t>
  </si>
  <si>
    <t xml:space="preserve">Kommana Gangaveni  </t>
  </si>
  <si>
    <t xml:space="preserve"> 9618853277,
‪ 96036 46477‬</t>
  </si>
  <si>
    <t>Rajanagaram mandal Narendrapuram 
sivalayam street   srisatya trinadh traders 
East Godavari District          
pincode 533294      
AP</t>
  </si>
  <si>
    <t xml:space="preserve"> K Karthik Kumar</t>
  </si>
  <si>
    <t>H no 1-4-48/2, Rajendranagar,Newtown,Mahbubnagar,Andhra Pradesh,509001</t>
  </si>
  <si>
    <t>Mahbubnagar</t>
  </si>
  <si>
    <t>Nvcc Seva Office</t>
  </si>
  <si>
    <t>Saroj Kumar singh</t>
  </si>
  <si>
    <t>Durga colony near saraswati vidya mandir dugda coal washry,District bokaro state Jharkhand ,pin code 828404</t>
  </si>
  <si>
    <t>Bokaro</t>
  </si>
  <si>
    <t>ODA not considered by Kanhaiyya</t>
  </si>
  <si>
    <t>Total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</si>
</sst>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1D35"/>
      <name val="Arial"/>
      <family val="2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0" fillId="4" borderId="0" xfId="0" applyFill="1"/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/>
    <xf numFmtId="0" fontId="5" fillId="6" borderId="0" xfId="0" applyFont="1" applyFill="1"/>
    <xf numFmtId="0" fontId="6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5"/>
  <sheetViews>
    <sheetView tabSelected="1" topLeftCell="A139" zoomScale="70" zoomScaleNormal="70" workbookViewId="0">
      <selection activeCell="K147" sqref="K147"/>
    </sheetView>
  </sheetViews>
  <sheetFormatPr defaultRowHeight="15" x14ac:dyDescent="0.25"/>
  <cols>
    <col min="1" max="1" width="12" style="1" bestFit="1" customWidth="1"/>
    <col min="2" max="2" width="7.85546875" bestFit="1" customWidth="1"/>
    <col min="3" max="3" width="28.7109375" bestFit="1" customWidth="1"/>
    <col min="4" max="4" width="20.140625" bestFit="1" customWidth="1"/>
    <col min="5" max="5" width="22.42578125" bestFit="1" customWidth="1"/>
    <col min="6" max="6" width="11.7109375" bestFit="1" customWidth="1"/>
    <col min="7" max="7" width="20.7109375" bestFit="1" customWidth="1"/>
    <col min="8" max="8" width="18.7109375" bestFit="1" customWidth="1"/>
    <col min="9" max="9" width="15.28515625" bestFit="1" customWidth="1"/>
    <col min="10" max="10" width="9.5703125" bestFit="1" customWidth="1"/>
    <col min="11" max="11" width="27.140625" bestFit="1" customWidth="1"/>
    <col min="12" max="12" width="9.7109375" customWidth="1"/>
    <col min="13" max="13" width="17.28515625" bestFit="1" customWidth="1"/>
    <col min="14" max="14" width="10.28515625" bestFit="1" customWidth="1"/>
    <col min="15" max="15" width="22.85546875" bestFit="1" customWidth="1"/>
  </cols>
  <sheetData>
    <row r="1" spans="1:15" x14ac:dyDescent="0.25">
      <c r="A1" s="2" t="s">
        <v>13</v>
      </c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14</v>
      </c>
      <c r="N1" s="2" t="s">
        <v>11</v>
      </c>
      <c r="O1" s="2" t="s">
        <v>12</v>
      </c>
    </row>
    <row r="2" spans="1:15" ht="120" x14ac:dyDescent="0.25">
      <c r="A2" s="5" t="s">
        <v>21</v>
      </c>
      <c r="B2" s="4">
        <v>1</v>
      </c>
      <c r="C2" s="4" t="s">
        <v>15</v>
      </c>
      <c r="D2" s="4" t="s">
        <v>16</v>
      </c>
      <c r="E2" s="4" t="s">
        <v>17</v>
      </c>
      <c r="F2" s="4">
        <v>534176</v>
      </c>
      <c r="G2" s="4" t="s">
        <v>18</v>
      </c>
      <c r="H2" s="4" t="s">
        <v>19</v>
      </c>
      <c r="I2" s="4">
        <v>1</v>
      </c>
      <c r="J2" s="4">
        <v>10</v>
      </c>
      <c r="K2" s="4"/>
      <c r="L2" s="4"/>
      <c r="M2" s="4">
        <v>3100</v>
      </c>
      <c r="N2" s="6">
        <v>282</v>
      </c>
      <c r="O2" s="4" t="s">
        <v>20</v>
      </c>
    </row>
    <row r="3" spans="1:15" s="31" customFormat="1" ht="60" x14ac:dyDescent="0.25">
      <c r="A3" s="30" t="s">
        <v>22</v>
      </c>
      <c r="B3" s="13">
        <v>1</v>
      </c>
      <c r="C3" s="13" t="s">
        <v>23</v>
      </c>
      <c r="D3" s="13" t="s">
        <v>16</v>
      </c>
      <c r="E3" s="13" t="s">
        <v>24</v>
      </c>
      <c r="F3" s="13">
        <v>722102</v>
      </c>
      <c r="G3" s="13" t="s">
        <v>25</v>
      </c>
      <c r="H3" s="13" t="s">
        <v>26</v>
      </c>
      <c r="I3" s="13">
        <v>1</v>
      </c>
      <c r="J3" s="13">
        <v>20</v>
      </c>
      <c r="K3" s="14" t="s">
        <v>100</v>
      </c>
      <c r="L3" s="13"/>
      <c r="M3" s="13">
        <v>6900</v>
      </c>
      <c r="N3" s="12">
        <v>720</v>
      </c>
      <c r="O3" s="12" t="s">
        <v>27</v>
      </c>
    </row>
    <row r="4" spans="1:15" ht="90" x14ac:dyDescent="0.25">
      <c r="A4" s="5" t="s">
        <v>28</v>
      </c>
      <c r="B4" s="4">
        <v>1</v>
      </c>
      <c r="C4" s="6" t="s">
        <v>29</v>
      </c>
      <c r="D4" s="4">
        <v>9619459404</v>
      </c>
      <c r="E4" s="4" t="s">
        <v>30</v>
      </c>
      <c r="F4" s="4">
        <v>400709</v>
      </c>
      <c r="G4" s="4" t="s">
        <v>31</v>
      </c>
      <c r="H4" s="4" t="s">
        <v>32</v>
      </c>
      <c r="I4" s="6">
        <v>1</v>
      </c>
      <c r="J4" s="4">
        <v>20</v>
      </c>
      <c r="K4" s="4"/>
      <c r="L4" s="4"/>
      <c r="M4" s="6">
        <v>5000</v>
      </c>
      <c r="N4" s="7">
        <f t="shared" ref="N4:N8" si="0">IF(J4&lt;=0.5, 45,
   IF(J4&lt;=1, 50,
   IF(J4&lt;=1.5, 77,
   IF(J4&lt;=2, 92,
   IF(J4&lt;=10, 282, 420)))))</f>
        <v>420</v>
      </c>
      <c r="O4" s="6" t="s">
        <v>33</v>
      </c>
    </row>
    <row r="5" spans="1:15" ht="105" x14ac:dyDescent="0.25">
      <c r="A5" s="5"/>
      <c r="B5" s="7">
        <v>2</v>
      </c>
      <c r="C5" s="7" t="s">
        <v>34</v>
      </c>
      <c r="D5" s="6" t="s">
        <v>35</v>
      </c>
      <c r="E5" s="4" t="s">
        <v>36</v>
      </c>
      <c r="F5" s="7">
        <v>454552</v>
      </c>
      <c r="G5" s="7" t="s">
        <v>37</v>
      </c>
      <c r="H5" s="7" t="s">
        <v>38</v>
      </c>
      <c r="I5" s="7">
        <v>1</v>
      </c>
      <c r="J5" s="7">
        <v>1.5</v>
      </c>
      <c r="K5" s="7"/>
      <c r="L5" s="7"/>
      <c r="M5" s="7">
        <v>750</v>
      </c>
      <c r="N5" s="7">
        <f t="shared" si="0"/>
        <v>77</v>
      </c>
      <c r="O5" s="7" t="s">
        <v>39</v>
      </c>
    </row>
    <row r="6" spans="1:15" ht="90" x14ac:dyDescent="0.25">
      <c r="A6" s="5"/>
      <c r="B6" s="7">
        <v>3</v>
      </c>
      <c r="C6" s="7" t="s">
        <v>40</v>
      </c>
      <c r="D6" s="7" t="s">
        <v>41</v>
      </c>
      <c r="E6" s="4" t="s">
        <v>42</v>
      </c>
      <c r="F6" s="7">
        <v>560068</v>
      </c>
      <c r="G6" s="7" t="s">
        <v>43</v>
      </c>
      <c r="H6" s="7" t="s">
        <v>44</v>
      </c>
      <c r="I6" s="7">
        <v>1</v>
      </c>
      <c r="J6" s="7">
        <v>1.5</v>
      </c>
      <c r="K6" s="7"/>
      <c r="L6" s="7"/>
      <c r="M6" s="7">
        <v>750</v>
      </c>
      <c r="N6" s="7">
        <f t="shared" si="0"/>
        <v>77</v>
      </c>
      <c r="O6" s="7" t="s">
        <v>39</v>
      </c>
    </row>
    <row r="7" spans="1:15" ht="90" x14ac:dyDescent="0.25">
      <c r="A7" s="5" t="s">
        <v>45</v>
      </c>
      <c r="B7" s="6">
        <v>1</v>
      </c>
      <c r="C7" s="6" t="s">
        <v>46</v>
      </c>
      <c r="D7" s="6" t="s">
        <v>47</v>
      </c>
      <c r="E7" s="4" t="s">
        <v>48</v>
      </c>
      <c r="F7" s="4">
        <v>501401</v>
      </c>
      <c r="G7" s="4" t="s">
        <v>49</v>
      </c>
      <c r="H7" s="4" t="s">
        <v>50</v>
      </c>
      <c r="I7" s="6">
        <v>1</v>
      </c>
      <c r="J7" s="6">
        <v>5</v>
      </c>
      <c r="K7" s="4"/>
      <c r="L7" s="4"/>
      <c r="M7" s="6">
        <v>1500</v>
      </c>
      <c r="N7" s="8">
        <f t="shared" si="0"/>
        <v>282</v>
      </c>
      <c r="O7" s="6" t="s">
        <v>20</v>
      </c>
    </row>
    <row r="8" spans="1:15" ht="105" x14ac:dyDescent="0.25">
      <c r="A8" s="5"/>
      <c r="B8" s="6">
        <v>2</v>
      </c>
      <c r="C8" s="6" t="s">
        <v>51</v>
      </c>
      <c r="D8" s="6" t="s">
        <v>52</v>
      </c>
      <c r="E8" s="4" t="s">
        <v>53</v>
      </c>
      <c r="F8" s="4">
        <v>515201</v>
      </c>
      <c r="G8" s="4" t="s">
        <v>54</v>
      </c>
      <c r="H8" s="4" t="s">
        <v>55</v>
      </c>
      <c r="I8" s="6">
        <v>1</v>
      </c>
      <c r="J8" s="6">
        <v>7.5</v>
      </c>
      <c r="K8" s="4" t="s">
        <v>56</v>
      </c>
      <c r="L8" s="4"/>
      <c r="M8" s="6">
        <v>15000</v>
      </c>
      <c r="N8" s="8">
        <f t="shared" si="0"/>
        <v>282</v>
      </c>
      <c r="O8" s="6" t="s">
        <v>57</v>
      </c>
    </row>
    <row r="9" spans="1:15" ht="90" x14ac:dyDescent="0.25">
      <c r="A9" s="5" t="s">
        <v>58</v>
      </c>
      <c r="B9" s="6">
        <v>1</v>
      </c>
      <c r="C9" s="9" t="s">
        <v>59</v>
      </c>
      <c r="D9" s="1" t="s">
        <v>60</v>
      </c>
      <c r="E9" s="10" t="s">
        <v>61</v>
      </c>
      <c r="F9" s="1">
        <v>410210</v>
      </c>
      <c r="G9" s="1" t="s">
        <v>62</v>
      </c>
      <c r="H9" s="1" t="s">
        <v>63</v>
      </c>
      <c r="I9" s="1">
        <v>1</v>
      </c>
      <c r="J9" s="1">
        <v>27.5</v>
      </c>
      <c r="K9" s="11" t="s">
        <v>56</v>
      </c>
      <c r="L9" s="4"/>
      <c r="M9" s="1">
        <v>19999</v>
      </c>
      <c r="N9" s="7">
        <v>588</v>
      </c>
      <c r="O9" s="6" t="s">
        <v>57</v>
      </c>
    </row>
    <row r="10" spans="1:15" ht="90" x14ac:dyDescent="0.25">
      <c r="A10" s="5"/>
      <c r="B10" s="6">
        <v>2</v>
      </c>
      <c r="C10" s="9" t="s">
        <v>64</v>
      </c>
      <c r="D10" s="1" t="s">
        <v>65</v>
      </c>
      <c r="E10" s="10" t="s">
        <v>66</v>
      </c>
      <c r="F10" s="1">
        <v>500049</v>
      </c>
      <c r="G10" s="1" t="s">
        <v>67</v>
      </c>
      <c r="H10" s="1" t="s">
        <v>68</v>
      </c>
      <c r="I10" s="1">
        <v>2</v>
      </c>
      <c r="J10" s="1">
        <v>34</v>
      </c>
      <c r="K10" s="11" t="s">
        <v>69</v>
      </c>
      <c r="L10" s="4"/>
      <c r="M10" s="1">
        <v>20000</v>
      </c>
      <c r="N10" s="7">
        <v>714</v>
      </c>
      <c r="O10" s="6" t="s">
        <v>57</v>
      </c>
    </row>
    <row r="11" spans="1:15" ht="120" x14ac:dyDescent="0.25">
      <c r="A11" s="5" t="s">
        <v>70</v>
      </c>
      <c r="B11" s="6">
        <v>1</v>
      </c>
      <c r="C11" s="6" t="s">
        <v>71</v>
      </c>
      <c r="D11" s="6" t="s">
        <v>72</v>
      </c>
      <c r="E11" s="4" t="s">
        <v>73</v>
      </c>
      <c r="F11" s="4">
        <v>533347</v>
      </c>
      <c r="G11" s="4" t="s">
        <v>74</v>
      </c>
      <c r="H11" s="4" t="s">
        <v>75</v>
      </c>
      <c r="I11" s="6">
        <v>3</v>
      </c>
      <c r="J11" s="6">
        <v>53</v>
      </c>
      <c r="K11" s="4"/>
      <c r="L11" s="4"/>
      <c r="M11" s="6">
        <v>18300</v>
      </c>
      <c r="N11" s="7">
        <v>1113</v>
      </c>
      <c r="O11" s="6" t="s">
        <v>39</v>
      </c>
    </row>
    <row r="12" spans="1:15" ht="105" x14ac:dyDescent="0.25">
      <c r="A12" s="5"/>
      <c r="B12" s="7">
        <v>2</v>
      </c>
      <c r="C12" s="7" t="s">
        <v>76</v>
      </c>
      <c r="D12" s="6" t="s">
        <v>77</v>
      </c>
      <c r="E12" s="4" t="s">
        <v>78</v>
      </c>
      <c r="F12" s="7">
        <v>518003</v>
      </c>
      <c r="G12" s="7" t="s">
        <v>79</v>
      </c>
      <c r="H12" s="7" t="s">
        <v>75</v>
      </c>
      <c r="I12" s="7">
        <v>2</v>
      </c>
      <c r="J12" s="7">
        <v>35</v>
      </c>
      <c r="K12" s="7"/>
      <c r="L12" s="7"/>
      <c r="M12" s="7">
        <v>12200</v>
      </c>
      <c r="N12" s="7">
        <v>735</v>
      </c>
      <c r="O12" s="6" t="s">
        <v>39</v>
      </c>
    </row>
    <row r="13" spans="1:15" ht="75" x14ac:dyDescent="0.25">
      <c r="A13" s="5"/>
      <c r="B13" s="7">
        <v>3</v>
      </c>
      <c r="C13" s="7" t="s">
        <v>80</v>
      </c>
      <c r="D13" s="7">
        <v>9629015733</v>
      </c>
      <c r="E13" s="4" t="s">
        <v>81</v>
      </c>
      <c r="F13" s="7">
        <v>636016</v>
      </c>
      <c r="G13" s="7" t="s">
        <v>82</v>
      </c>
      <c r="H13" s="7" t="s">
        <v>83</v>
      </c>
      <c r="I13" s="7">
        <v>1</v>
      </c>
      <c r="J13" s="7">
        <v>20</v>
      </c>
      <c r="K13" s="7"/>
      <c r="L13" s="7"/>
      <c r="M13" s="7">
        <v>7000</v>
      </c>
      <c r="N13" s="7">
        <f t="shared" ref="N13:N16" si="1">IF(J13&lt;=0.5, 45,
   IF(J13&lt;=1, 50,
   IF(J13&lt;=1.5, 77,
   IF(J13&lt;=2, 92,
   IF(J13&lt;=10, 282, 420)))))</f>
        <v>420</v>
      </c>
      <c r="O13" s="6" t="s">
        <v>39</v>
      </c>
    </row>
    <row r="14" spans="1:15" ht="105" x14ac:dyDescent="0.25">
      <c r="A14" s="5"/>
      <c r="B14" s="7">
        <v>4</v>
      </c>
      <c r="C14" s="7" t="s">
        <v>84</v>
      </c>
      <c r="D14" s="7">
        <v>9397603967</v>
      </c>
      <c r="E14" s="4" t="s">
        <v>85</v>
      </c>
      <c r="F14" s="7">
        <v>520007</v>
      </c>
      <c r="G14" s="7" t="s">
        <v>86</v>
      </c>
      <c r="H14" s="7" t="s">
        <v>75</v>
      </c>
      <c r="I14" s="7">
        <v>1</v>
      </c>
      <c r="J14" s="7">
        <v>20</v>
      </c>
      <c r="K14" s="7"/>
      <c r="L14" s="7"/>
      <c r="M14" s="7">
        <v>6100</v>
      </c>
      <c r="N14" s="7">
        <f t="shared" si="1"/>
        <v>420</v>
      </c>
      <c r="O14" s="6" t="s">
        <v>39</v>
      </c>
    </row>
    <row r="15" spans="1:15" s="31" customFormat="1" ht="105" x14ac:dyDescent="0.25">
      <c r="A15" s="30"/>
      <c r="B15" s="16">
        <v>5</v>
      </c>
      <c r="C15" s="16" t="s">
        <v>87</v>
      </c>
      <c r="D15" s="16" t="s">
        <v>88</v>
      </c>
      <c r="E15" s="13" t="s">
        <v>89</v>
      </c>
      <c r="F15" s="16">
        <v>854328</v>
      </c>
      <c r="G15" s="16" t="s">
        <v>90</v>
      </c>
      <c r="H15" s="16" t="s">
        <v>91</v>
      </c>
      <c r="I15" s="16">
        <v>1</v>
      </c>
      <c r="J15" s="16">
        <v>20</v>
      </c>
      <c r="K15" s="14" t="s">
        <v>100</v>
      </c>
      <c r="L15" s="16"/>
      <c r="M15" s="16">
        <v>7000</v>
      </c>
      <c r="N15" s="16">
        <v>720</v>
      </c>
      <c r="O15" s="12" t="s">
        <v>39</v>
      </c>
    </row>
    <row r="16" spans="1:15" ht="105" x14ac:dyDescent="0.25">
      <c r="A16" s="5"/>
      <c r="B16" s="7">
        <v>6</v>
      </c>
      <c r="C16" s="7" t="s">
        <v>92</v>
      </c>
      <c r="D16" s="7">
        <v>8779111153</v>
      </c>
      <c r="E16" s="4" t="s">
        <v>93</v>
      </c>
      <c r="F16" s="7">
        <v>110075</v>
      </c>
      <c r="G16" s="7" t="s">
        <v>94</v>
      </c>
      <c r="H16" s="7" t="s">
        <v>94</v>
      </c>
      <c r="I16" s="7">
        <v>1</v>
      </c>
      <c r="J16" s="7">
        <v>1.5</v>
      </c>
      <c r="K16" s="7"/>
      <c r="L16" s="7"/>
      <c r="M16" s="7">
        <v>750</v>
      </c>
      <c r="N16" s="7">
        <f t="shared" si="1"/>
        <v>77</v>
      </c>
      <c r="O16" s="7" t="s">
        <v>95</v>
      </c>
    </row>
    <row r="17" spans="1:15" ht="135" x14ac:dyDescent="0.25">
      <c r="A17" s="5" t="s">
        <v>96</v>
      </c>
      <c r="B17" s="12">
        <v>1</v>
      </c>
      <c r="C17" s="12" t="s">
        <v>97</v>
      </c>
      <c r="D17" s="12">
        <v>7010689611</v>
      </c>
      <c r="E17" s="13" t="s">
        <v>98</v>
      </c>
      <c r="F17" s="13">
        <v>643219</v>
      </c>
      <c r="G17" s="13" t="s">
        <v>99</v>
      </c>
      <c r="H17" s="13" t="s">
        <v>83</v>
      </c>
      <c r="I17" s="12">
        <v>1</v>
      </c>
      <c r="J17" s="12">
        <v>20</v>
      </c>
      <c r="K17" s="14" t="s">
        <v>100</v>
      </c>
      <c r="L17" s="13"/>
      <c r="M17" s="12">
        <v>7000</v>
      </c>
      <c r="N17" s="15">
        <v>720</v>
      </c>
      <c r="O17" s="12" t="s">
        <v>20</v>
      </c>
    </row>
    <row r="18" spans="1:15" ht="60" x14ac:dyDescent="0.25">
      <c r="A18" s="5"/>
      <c r="B18" s="7">
        <v>2</v>
      </c>
      <c r="C18" s="7" t="s">
        <v>101</v>
      </c>
      <c r="D18" s="6">
        <v>8670390583</v>
      </c>
      <c r="E18" s="4" t="s">
        <v>102</v>
      </c>
      <c r="F18" s="7">
        <v>743355</v>
      </c>
      <c r="G18" s="7" t="s">
        <v>103</v>
      </c>
      <c r="H18" s="7" t="s">
        <v>26</v>
      </c>
      <c r="I18" s="7">
        <v>1</v>
      </c>
      <c r="J18" s="7">
        <v>10</v>
      </c>
      <c r="K18" s="7"/>
      <c r="L18" s="7"/>
      <c r="M18" s="7">
        <v>2800</v>
      </c>
      <c r="N18" s="8">
        <f t="shared" ref="N18:N20" si="2">IF(J18&lt;=0.5, 45,
   IF(J18&lt;=1, 50,
   IF(J18&lt;=1.5, 77,
   IF(J18&lt;=2, 92,
   IF(J18&lt;=10, 282, 420)))))</f>
        <v>282</v>
      </c>
      <c r="O18" s="6" t="s">
        <v>20</v>
      </c>
    </row>
    <row r="19" spans="1:15" ht="90" x14ac:dyDescent="0.25">
      <c r="A19" s="5"/>
      <c r="B19" s="7">
        <v>3</v>
      </c>
      <c r="C19" s="7" t="s">
        <v>104</v>
      </c>
      <c r="D19" s="7">
        <v>6280208813</v>
      </c>
      <c r="E19" s="4" t="s">
        <v>105</v>
      </c>
      <c r="F19" s="7">
        <v>140301</v>
      </c>
      <c r="G19" s="7" t="s">
        <v>106</v>
      </c>
      <c r="H19" s="7" t="s">
        <v>107</v>
      </c>
      <c r="I19" s="7">
        <v>1</v>
      </c>
      <c r="J19" s="7">
        <v>5</v>
      </c>
      <c r="K19" s="7"/>
      <c r="L19" s="7"/>
      <c r="M19" s="7">
        <v>1500</v>
      </c>
      <c r="N19" s="8">
        <f t="shared" si="2"/>
        <v>282</v>
      </c>
      <c r="O19" s="6" t="s">
        <v>20</v>
      </c>
    </row>
    <row r="20" spans="1:15" ht="105" x14ac:dyDescent="0.25">
      <c r="A20" s="5"/>
      <c r="B20" s="7">
        <v>4</v>
      </c>
      <c r="C20" s="7" t="s">
        <v>108</v>
      </c>
      <c r="D20" s="7">
        <v>9699072734</v>
      </c>
      <c r="E20" s="4" t="s">
        <v>109</v>
      </c>
      <c r="F20" s="7">
        <v>444606</v>
      </c>
      <c r="G20" s="7" t="s">
        <v>110</v>
      </c>
      <c r="H20" s="7" t="s">
        <v>32</v>
      </c>
      <c r="I20" s="7">
        <v>1</v>
      </c>
      <c r="J20" s="7">
        <v>20</v>
      </c>
      <c r="K20" s="7"/>
      <c r="L20" s="7"/>
      <c r="M20" s="7">
        <v>8000</v>
      </c>
      <c r="N20" s="7">
        <f t="shared" si="2"/>
        <v>420</v>
      </c>
      <c r="O20" s="7" t="s">
        <v>111</v>
      </c>
    </row>
    <row r="21" spans="1:15" ht="90" x14ac:dyDescent="0.25">
      <c r="A21" s="5" t="s">
        <v>112</v>
      </c>
      <c r="B21" s="7">
        <v>1</v>
      </c>
      <c r="C21" s="7" t="s">
        <v>113</v>
      </c>
      <c r="D21" s="6" t="s">
        <v>114</v>
      </c>
      <c r="E21" s="4" t="s">
        <v>115</v>
      </c>
      <c r="F21" s="7">
        <v>521165</v>
      </c>
      <c r="G21" s="7" t="s">
        <v>116</v>
      </c>
      <c r="H21" s="4" t="s">
        <v>75</v>
      </c>
      <c r="I21" s="7">
        <v>2</v>
      </c>
      <c r="J21" s="7">
        <v>34</v>
      </c>
      <c r="K21" s="7"/>
      <c r="L21" s="7"/>
      <c r="M21" s="7">
        <v>12200</v>
      </c>
      <c r="N21" s="8">
        <v>714</v>
      </c>
      <c r="O21" s="6" t="s">
        <v>39</v>
      </c>
    </row>
    <row r="22" spans="1:15" ht="105" x14ac:dyDescent="0.25">
      <c r="A22" s="5"/>
      <c r="B22" s="7">
        <v>2</v>
      </c>
      <c r="C22" s="7" t="s">
        <v>117</v>
      </c>
      <c r="D22" s="6" t="s">
        <v>118</v>
      </c>
      <c r="E22" s="4" t="s">
        <v>119</v>
      </c>
      <c r="F22" s="7">
        <v>500072</v>
      </c>
      <c r="G22" s="7" t="s">
        <v>67</v>
      </c>
      <c r="H22" s="7" t="s">
        <v>50</v>
      </c>
      <c r="I22" s="7">
        <v>1</v>
      </c>
      <c r="J22" s="7">
        <v>20</v>
      </c>
      <c r="K22" s="7"/>
      <c r="L22" s="7"/>
      <c r="M22" s="7">
        <v>6100</v>
      </c>
      <c r="N22" s="8">
        <f t="shared" ref="N22:N34" si="3">IF(J22&lt;=0.5, 45,
   IF(J22&lt;=1, 50,
   IF(J22&lt;=1.5, 77,
   IF(J22&lt;=2, 92,
   IF(J22&lt;=10, 282, 420)))))</f>
        <v>420</v>
      </c>
      <c r="O22" s="6" t="s">
        <v>39</v>
      </c>
    </row>
    <row r="23" spans="1:15" ht="120" x14ac:dyDescent="0.25">
      <c r="A23" s="5"/>
      <c r="B23" s="7">
        <v>3</v>
      </c>
      <c r="C23" s="7" t="s">
        <v>120</v>
      </c>
      <c r="D23" s="7">
        <v>8096302702</v>
      </c>
      <c r="E23" s="4" t="s">
        <v>121</v>
      </c>
      <c r="F23" s="7">
        <v>500045</v>
      </c>
      <c r="G23" s="7" t="s">
        <v>67</v>
      </c>
      <c r="H23" s="7" t="s">
        <v>50</v>
      </c>
      <c r="I23" s="7">
        <v>1</v>
      </c>
      <c r="J23" s="7">
        <v>20</v>
      </c>
      <c r="K23" s="7"/>
      <c r="L23" s="7"/>
      <c r="M23" s="7">
        <v>6100</v>
      </c>
      <c r="N23" s="8">
        <f t="shared" si="3"/>
        <v>420</v>
      </c>
      <c r="O23" s="6" t="s">
        <v>39</v>
      </c>
    </row>
    <row r="24" spans="1:15" ht="60" x14ac:dyDescent="0.25">
      <c r="A24" s="5"/>
      <c r="B24" s="7">
        <v>4</v>
      </c>
      <c r="C24" s="7" t="s">
        <v>122</v>
      </c>
      <c r="D24" s="6" t="s">
        <v>123</v>
      </c>
      <c r="E24" s="4" t="s">
        <v>124</v>
      </c>
      <c r="F24" s="7">
        <v>500065</v>
      </c>
      <c r="G24" s="7" t="s">
        <v>67</v>
      </c>
      <c r="H24" s="7" t="s">
        <v>50</v>
      </c>
      <c r="I24" s="7">
        <v>1</v>
      </c>
      <c r="J24" s="7">
        <v>20</v>
      </c>
      <c r="K24" s="7"/>
      <c r="L24" s="7"/>
      <c r="M24" s="7">
        <v>6100</v>
      </c>
      <c r="N24" s="8">
        <f t="shared" si="3"/>
        <v>420</v>
      </c>
      <c r="O24" s="6" t="s">
        <v>39</v>
      </c>
    </row>
    <row r="25" spans="1:15" ht="150" x14ac:dyDescent="0.25">
      <c r="A25" s="5"/>
      <c r="B25" s="7">
        <v>5</v>
      </c>
      <c r="C25" s="7" t="s">
        <v>125</v>
      </c>
      <c r="D25" s="6" t="s">
        <v>126</v>
      </c>
      <c r="E25" s="4" t="s">
        <v>127</v>
      </c>
      <c r="F25" s="7">
        <v>520007</v>
      </c>
      <c r="G25" s="7" t="s">
        <v>128</v>
      </c>
      <c r="H25" s="7" t="s">
        <v>75</v>
      </c>
      <c r="I25" s="7">
        <v>1</v>
      </c>
      <c r="J25" s="7">
        <v>20</v>
      </c>
      <c r="K25" s="7"/>
      <c r="L25" s="7"/>
      <c r="M25" s="7">
        <v>6100</v>
      </c>
      <c r="N25" s="8">
        <f t="shared" si="3"/>
        <v>420</v>
      </c>
      <c r="O25" s="6" t="s">
        <v>39</v>
      </c>
    </row>
    <row r="26" spans="1:15" ht="135" x14ac:dyDescent="0.25">
      <c r="A26" s="30"/>
      <c r="B26" s="16">
        <v>6</v>
      </c>
      <c r="C26" s="16" t="s">
        <v>129</v>
      </c>
      <c r="D26" s="12">
        <v>9493116338</v>
      </c>
      <c r="E26" s="13" t="s">
        <v>130</v>
      </c>
      <c r="F26" s="16">
        <v>522316</v>
      </c>
      <c r="G26" s="16" t="s">
        <v>131</v>
      </c>
      <c r="H26" s="16" t="s">
        <v>75</v>
      </c>
      <c r="I26" s="16">
        <v>1</v>
      </c>
      <c r="J26" s="16">
        <v>20</v>
      </c>
      <c r="K26" s="17" t="s">
        <v>100</v>
      </c>
      <c r="L26" s="31"/>
      <c r="M26" s="16">
        <v>6100</v>
      </c>
      <c r="N26" s="15">
        <v>720</v>
      </c>
      <c r="O26" s="12" t="s">
        <v>39</v>
      </c>
    </row>
    <row r="27" spans="1:15" ht="105" x14ac:dyDescent="0.25">
      <c r="A27" s="5"/>
      <c r="B27" s="7">
        <v>7</v>
      </c>
      <c r="C27" s="7" t="s">
        <v>132</v>
      </c>
      <c r="D27" s="7">
        <v>8861655175</v>
      </c>
      <c r="E27" s="4" t="s">
        <v>133</v>
      </c>
      <c r="F27" s="7">
        <v>581349</v>
      </c>
      <c r="G27" s="7" t="s">
        <v>134</v>
      </c>
      <c r="H27" s="7" t="s">
        <v>44</v>
      </c>
      <c r="I27" s="7">
        <v>1</v>
      </c>
      <c r="J27" s="7">
        <v>20</v>
      </c>
      <c r="K27" s="7"/>
      <c r="L27" s="7"/>
      <c r="M27" s="7">
        <v>7500</v>
      </c>
      <c r="N27" s="8">
        <f t="shared" si="3"/>
        <v>420</v>
      </c>
      <c r="O27" s="7" t="s">
        <v>20</v>
      </c>
    </row>
    <row r="28" spans="1:15" ht="120" x14ac:dyDescent="0.25">
      <c r="A28" s="5"/>
      <c r="B28" s="7">
        <v>8</v>
      </c>
      <c r="C28" s="7" t="s">
        <v>135</v>
      </c>
      <c r="D28" s="7">
        <v>9777222167</v>
      </c>
      <c r="E28" s="4" t="s">
        <v>136</v>
      </c>
      <c r="F28" s="7">
        <v>766002</v>
      </c>
      <c r="G28" s="7" t="s">
        <v>137</v>
      </c>
      <c r="H28" s="7" t="s">
        <v>138</v>
      </c>
      <c r="I28" s="7">
        <v>1</v>
      </c>
      <c r="J28" s="7">
        <v>1</v>
      </c>
      <c r="K28" s="7"/>
      <c r="L28" s="7"/>
      <c r="M28" s="7">
        <v>330</v>
      </c>
      <c r="N28" s="7">
        <f t="shared" si="3"/>
        <v>50</v>
      </c>
      <c r="O28" s="7" t="s">
        <v>139</v>
      </c>
    </row>
    <row r="29" spans="1:15" ht="105" x14ac:dyDescent="0.25">
      <c r="A29" s="5"/>
      <c r="B29" s="7">
        <v>9</v>
      </c>
      <c r="C29" s="7" t="s">
        <v>140</v>
      </c>
      <c r="D29" s="7">
        <v>9497760944</v>
      </c>
      <c r="E29" s="4" t="s">
        <v>141</v>
      </c>
      <c r="F29" s="7">
        <v>695020</v>
      </c>
      <c r="G29" s="7" t="s">
        <v>142</v>
      </c>
      <c r="H29" s="7" t="s">
        <v>143</v>
      </c>
      <c r="I29" s="7">
        <v>1</v>
      </c>
      <c r="J29" s="7">
        <v>0.5</v>
      </c>
      <c r="K29" s="7"/>
      <c r="L29" s="7"/>
      <c r="M29" s="7">
        <v>30</v>
      </c>
      <c r="N29" s="7">
        <f t="shared" si="3"/>
        <v>45</v>
      </c>
      <c r="O29" s="7" t="s">
        <v>139</v>
      </c>
    </row>
    <row r="30" spans="1:15" ht="120" x14ac:dyDescent="0.25">
      <c r="A30" s="5"/>
      <c r="B30" s="7">
        <v>10</v>
      </c>
      <c r="C30" s="7" t="s">
        <v>144</v>
      </c>
      <c r="D30" s="7">
        <v>9866655902</v>
      </c>
      <c r="E30" s="4" t="s">
        <v>145</v>
      </c>
      <c r="F30" s="7">
        <v>500089</v>
      </c>
      <c r="G30" s="7" t="s">
        <v>67</v>
      </c>
      <c r="H30" s="7" t="s">
        <v>68</v>
      </c>
      <c r="I30" s="7">
        <v>1</v>
      </c>
      <c r="J30" s="7">
        <v>12.5</v>
      </c>
      <c r="K30" s="7" t="s">
        <v>56</v>
      </c>
      <c r="L30" s="7"/>
      <c r="M30" s="7">
        <v>10000</v>
      </c>
      <c r="N30" s="7">
        <f t="shared" si="3"/>
        <v>420</v>
      </c>
      <c r="O30" s="7" t="s">
        <v>57</v>
      </c>
    </row>
    <row r="31" spans="1:15" ht="120" x14ac:dyDescent="0.25">
      <c r="A31" s="5" t="s">
        <v>146</v>
      </c>
      <c r="B31" s="7">
        <v>1</v>
      </c>
      <c r="C31" s="7" t="s">
        <v>147</v>
      </c>
      <c r="D31" s="6">
        <v>9449328890</v>
      </c>
      <c r="E31" s="4" t="s">
        <v>148</v>
      </c>
      <c r="F31" s="7">
        <v>577401</v>
      </c>
      <c r="G31" s="7" t="s">
        <v>149</v>
      </c>
      <c r="H31" s="4" t="s">
        <v>44</v>
      </c>
      <c r="I31" s="7">
        <v>1</v>
      </c>
      <c r="J31" s="7">
        <v>20</v>
      </c>
      <c r="K31" s="7"/>
      <c r="L31" s="7"/>
      <c r="M31" s="7">
        <v>7500</v>
      </c>
      <c r="N31" s="8">
        <f t="shared" si="3"/>
        <v>420</v>
      </c>
      <c r="O31" s="6" t="s">
        <v>20</v>
      </c>
    </row>
    <row r="32" spans="1:15" ht="120" x14ac:dyDescent="0.25">
      <c r="A32" s="5"/>
      <c r="B32" s="7">
        <v>2</v>
      </c>
      <c r="C32" s="7" t="s">
        <v>150</v>
      </c>
      <c r="D32" s="6">
        <v>9046207095</v>
      </c>
      <c r="E32" s="4" t="s">
        <v>151</v>
      </c>
      <c r="F32" s="7">
        <v>700149</v>
      </c>
      <c r="G32" s="7" t="s">
        <v>152</v>
      </c>
      <c r="H32" s="7" t="s">
        <v>153</v>
      </c>
      <c r="I32" s="7">
        <v>1</v>
      </c>
      <c r="J32" s="7">
        <v>20</v>
      </c>
      <c r="K32" s="7"/>
      <c r="L32" s="7"/>
      <c r="M32" s="7">
        <v>6640</v>
      </c>
      <c r="N32" s="8">
        <f t="shared" si="3"/>
        <v>420</v>
      </c>
      <c r="O32" s="6" t="s">
        <v>20</v>
      </c>
    </row>
    <row r="33" spans="1:15" ht="90" x14ac:dyDescent="0.25">
      <c r="A33" s="30"/>
      <c r="B33" s="16">
        <v>3</v>
      </c>
      <c r="C33" s="16" t="s">
        <v>154</v>
      </c>
      <c r="D33" s="16">
        <v>9444340260</v>
      </c>
      <c r="E33" s="13" t="s">
        <v>155</v>
      </c>
      <c r="F33" s="16">
        <v>585202</v>
      </c>
      <c r="G33" s="16" t="s">
        <v>156</v>
      </c>
      <c r="H33" s="16" t="s">
        <v>44</v>
      </c>
      <c r="I33" s="16">
        <v>1</v>
      </c>
      <c r="J33" s="16">
        <v>20</v>
      </c>
      <c r="K33" s="17" t="s">
        <v>100</v>
      </c>
      <c r="L33" s="16"/>
      <c r="M33" s="16">
        <v>6100</v>
      </c>
      <c r="N33" s="15">
        <v>720</v>
      </c>
      <c r="O33" s="12" t="s">
        <v>39</v>
      </c>
    </row>
    <row r="34" spans="1:15" ht="120" x14ac:dyDescent="0.25">
      <c r="A34" s="5"/>
      <c r="B34" s="7">
        <v>4</v>
      </c>
      <c r="C34" s="7" t="s">
        <v>157</v>
      </c>
      <c r="D34" s="6" t="s">
        <v>158</v>
      </c>
      <c r="E34" s="4" t="s">
        <v>159</v>
      </c>
      <c r="F34" s="7">
        <v>524004</v>
      </c>
      <c r="G34" s="7" t="s">
        <v>160</v>
      </c>
      <c r="H34" s="7" t="s">
        <v>75</v>
      </c>
      <c r="I34" s="7">
        <v>1</v>
      </c>
      <c r="J34" s="7">
        <v>20</v>
      </c>
      <c r="K34" s="7"/>
      <c r="L34" s="7"/>
      <c r="M34" s="7">
        <v>6100</v>
      </c>
      <c r="N34" s="8">
        <f t="shared" si="3"/>
        <v>420</v>
      </c>
      <c r="O34" s="6" t="s">
        <v>39</v>
      </c>
    </row>
    <row r="35" spans="1:15" ht="105" x14ac:dyDescent="0.25">
      <c r="A35" s="5"/>
      <c r="B35" s="7">
        <v>5</v>
      </c>
      <c r="C35" s="7" t="s">
        <v>161</v>
      </c>
      <c r="D35" s="6">
        <v>7003881951</v>
      </c>
      <c r="E35" s="4" t="s">
        <v>162</v>
      </c>
      <c r="F35" s="7">
        <v>700012</v>
      </c>
      <c r="G35" s="7" t="s">
        <v>163</v>
      </c>
      <c r="H35" s="7" t="s">
        <v>26</v>
      </c>
      <c r="I35" s="7">
        <v>1</v>
      </c>
      <c r="J35" s="7">
        <v>21</v>
      </c>
      <c r="K35" s="7"/>
      <c r="L35" s="7"/>
      <c r="M35" s="7">
        <v>6900</v>
      </c>
      <c r="N35" s="8">
        <v>441</v>
      </c>
      <c r="O35" s="6" t="s">
        <v>164</v>
      </c>
    </row>
    <row r="36" spans="1:15" ht="105" x14ac:dyDescent="0.25">
      <c r="A36" s="5"/>
      <c r="B36" s="7">
        <v>6</v>
      </c>
      <c r="C36" s="7" t="s">
        <v>165</v>
      </c>
      <c r="D36" s="7">
        <v>7003881951</v>
      </c>
      <c r="E36" s="4" t="s">
        <v>166</v>
      </c>
      <c r="F36" s="7">
        <v>700009</v>
      </c>
      <c r="G36" s="7" t="s">
        <v>163</v>
      </c>
      <c r="H36" s="7" t="s">
        <v>26</v>
      </c>
      <c r="I36" s="7">
        <v>1</v>
      </c>
      <c r="J36" s="7">
        <v>21</v>
      </c>
      <c r="K36" s="7"/>
      <c r="L36" s="7"/>
      <c r="M36" s="7">
        <v>6900</v>
      </c>
      <c r="N36" s="8">
        <v>441</v>
      </c>
      <c r="O36" s="6" t="s">
        <v>164</v>
      </c>
    </row>
    <row r="37" spans="1:15" ht="195" x14ac:dyDescent="0.25">
      <c r="A37" s="30"/>
      <c r="B37" s="16">
        <v>7</v>
      </c>
      <c r="C37" s="16" t="s">
        <v>167</v>
      </c>
      <c r="D37" s="16" t="s">
        <v>168</v>
      </c>
      <c r="E37" s="13" t="s">
        <v>169</v>
      </c>
      <c r="F37" s="16">
        <v>743251</v>
      </c>
      <c r="G37" s="16" t="s">
        <v>170</v>
      </c>
      <c r="H37" s="16" t="s">
        <v>26</v>
      </c>
      <c r="I37" s="16">
        <v>1</v>
      </c>
      <c r="J37" s="16">
        <v>21</v>
      </c>
      <c r="K37" s="17" t="s">
        <v>100</v>
      </c>
      <c r="L37" s="16"/>
      <c r="M37" s="16">
        <v>6900</v>
      </c>
      <c r="N37" s="15">
        <v>741</v>
      </c>
      <c r="O37" s="12" t="s">
        <v>164</v>
      </c>
    </row>
    <row r="38" spans="1:15" ht="75" x14ac:dyDescent="0.25">
      <c r="A38" s="5" t="s">
        <v>171</v>
      </c>
      <c r="B38" s="7">
        <v>1</v>
      </c>
      <c r="C38" s="7" t="s">
        <v>172</v>
      </c>
      <c r="D38" s="6">
        <v>9932136390</v>
      </c>
      <c r="E38" s="4" t="s">
        <v>173</v>
      </c>
      <c r="F38" s="7">
        <v>713519</v>
      </c>
      <c r="G38" s="7" t="s">
        <v>174</v>
      </c>
      <c r="H38" s="4" t="s">
        <v>26</v>
      </c>
      <c r="I38" s="7">
        <v>1</v>
      </c>
      <c r="J38" s="7">
        <v>5</v>
      </c>
      <c r="K38" s="7"/>
      <c r="L38" s="7"/>
      <c r="M38" s="7">
        <v>4500</v>
      </c>
      <c r="N38" s="7">
        <f>IF(J38&lt;=0.5, 45,
   IF(J38&lt;=1, 50,
   IF(J38&lt;=1.5, 77,
   IF(J38&lt;=2, 92,
   IF(J38&lt;=10, 282, 420)))))</f>
        <v>282</v>
      </c>
      <c r="O38" s="6" t="s">
        <v>20</v>
      </c>
    </row>
    <row r="39" spans="1:15" ht="105" x14ac:dyDescent="0.25">
      <c r="A39" s="5"/>
      <c r="B39" s="7">
        <v>2</v>
      </c>
      <c r="C39" s="7" t="s">
        <v>175</v>
      </c>
      <c r="D39" s="6" t="s">
        <v>176</v>
      </c>
      <c r="E39" s="4" t="s">
        <v>177</v>
      </c>
      <c r="F39" s="7">
        <v>500004</v>
      </c>
      <c r="G39" s="7" t="s">
        <v>67</v>
      </c>
      <c r="H39" s="4" t="s">
        <v>50</v>
      </c>
      <c r="I39" s="7">
        <v>1</v>
      </c>
      <c r="J39" s="7">
        <v>20</v>
      </c>
      <c r="K39" s="7"/>
      <c r="L39" s="7"/>
      <c r="M39" s="7">
        <v>6100</v>
      </c>
      <c r="N39" s="7">
        <f>IF(J39&lt;=0.5, 45,
   IF(J39&lt;=1, 50,
   IF(J39&lt;=1.5, 77,
   IF(J39&lt;=2, 92,
   IF(J39&lt;=10, 282, 420)))))</f>
        <v>420</v>
      </c>
      <c r="O39" s="6" t="s">
        <v>39</v>
      </c>
    </row>
    <row r="40" spans="1:15" ht="135" x14ac:dyDescent="0.25">
      <c r="A40" s="5"/>
      <c r="B40" s="7">
        <v>3</v>
      </c>
      <c r="C40" s="7" t="s">
        <v>178</v>
      </c>
      <c r="D40" s="6" t="s">
        <v>179</v>
      </c>
      <c r="E40" s="4" t="s">
        <v>180</v>
      </c>
      <c r="F40" s="7">
        <v>522002</v>
      </c>
      <c r="G40" s="7" t="s">
        <v>181</v>
      </c>
      <c r="H40" s="7" t="s">
        <v>75</v>
      </c>
      <c r="I40" s="7">
        <v>1</v>
      </c>
      <c r="J40" s="7">
        <v>20</v>
      </c>
      <c r="K40" s="7"/>
      <c r="L40" s="7"/>
      <c r="M40" s="7">
        <v>6100</v>
      </c>
      <c r="N40" s="7">
        <f t="shared" ref="N40:N45" si="4">IF(J40&lt;=0.5, 45,
   IF(J40&lt;=1, 50,
   IF(J40&lt;=1.5, 77,
   IF(J40&lt;=2, 92,
   IF(J40&lt;=10, 282, 420)))))</f>
        <v>420</v>
      </c>
      <c r="O40" s="6" t="s">
        <v>39</v>
      </c>
    </row>
    <row r="41" spans="1:15" s="31" customFormat="1" ht="120" x14ac:dyDescent="0.25">
      <c r="A41" s="30"/>
      <c r="B41" s="16">
        <v>4</v>
      </c>
      <c r="C41" s="16" t="s">
        <v>182</v>
      </c>
      <c r="D41" s="12">
        <v>9951527943</v>
      </c>
      <c r="E41" s="13" t="s">
        <v>183</v>
      </c>
      <c r="F41" s="16">
        <v>501359</v>
      </c>
      <c r="G41" s="16" t="s">
        <v>184</v>
      </c>
      <c r="H41" s="16" t="s">
        <v>50</v>
      </c>
      <c r="I41" s="16">
        <v>1</v>
      </c>
      <c r="J41" s="16">
        <v>20</v>
      </c>
      <c r="K41" s="17" t="s">
        <v>100</v>
      </c>
      <c r="L41" s="16"/>
      <c r="M41" s="16">
        <v>6100</v>
      </c>
      <c r="N41" s="16">
        <v>720</v>
      </c>
      <c r="O41" s="12" t="s">
        <v>39</v>
      </c>
    </row>
    <row r="42" spans="1:15" ht="105" x14ac:dyDescent="0.25">
      <c r="A42" s="5"/>
      <c r="B42" s="7">
        <v>5</v>
      </c>
      <c r="C42" s="7" t="s">
        <v>185</v>
      </c>
      <c r="D42" s="6" t="s">
        <v>186</v>
      </c>
      <c r="E42" s="4" t="s">
        <v>187</v>
      </c>
      <c r="F42" s="7">
        <v>534312</v>
      </c>
      <c r="G42" s="7" t="s">
        <v>188</v>
      </c>
      <c r="H42" s="7" t="s">
        <v>75</v>
      </c>
      <c r="I42" s="7">
        <v>1</v>
      </c>
      <c r="J42" s="7">
        <v>20</v>
      </c>
      <c r="K42" s="7"/>
      <c r="L42" s="7"/>
      <c r="M42" s="7">
        <v>6100</v>
      </c>
      <c r="N42" s="7">
        <f t="shared" si="4"/>
        <v>420</v>
      </c>
      <c r="O42" s="6" t="s">
        <v>39</v>
      </c>
    </row>
    <row r="43" spans="1:15" s="31" customFormat="1" ht="135" x14ac:dyDescent="0.25">
      <c r="A43" s="30"/>
      <c r="B43" s="16">
        <v>6</v>
      </c>
      <c r="C43" s="16" t="s">
        <v>189</v>
      </c>
      <c r="D43" s="16" t="s">
        <v>190</v>
      </c>
      <c r="E43" s="13" t="s">
        <v>191</v>
      </c>
      <c r="F43" s="16">
        <v>534461</v>
      </c>
      <c r="G43" s="16" t="s">
        <v>192</v>
      </c>
      <c r="H43" s="16" t="s">
        <v>75</v>
      </c>
      <c r="I43" s="16">
        <v>1</v>
      </c>
      <c r="J43" s="16">
        <v>20</v>
      </c>
      <c r="K43" s="17" t="s">
        <v>100</v>
      </c>
      <c r="L43" s="16"/>
      <c r="M43" s="16">
        <v>6100</v>
      </c>
      <c r="N43" s="16">
        <v>720</v>
      </c>
      <c r="O43" s="12" t="s">
        <v>39</v>
      </c>
    </row>
    <row r="44" spans="1:15" s="31" customFormat="1" ht="150" x14ac:dyDescent="0.25">
      <c r="A44" s="30"/>
      <c r="B44" s="16">
        <v>7</v>
      </c>
      <c r="C44" s="16" t="s">
        <v>193</v>
      </c>
      <c r="D44" s="16">
        <v>9912549516</v>
      </c>
      <c r="E44" s="13" t="s">
        <v>194</v>
      </c>
      <c r="F44" s="16">
        <v>534176</v>
      </c>
      <c r="G44" s="16" t="s">
        <v>188</v>
      </c>
      <c r="H44" s="16" t="s">
        <v>75</v>
      </c>
      <c r="I44" s="16">
        <v>1</v>
      </c>
      <c r="J44" s="16">
        <v>20</v>
      </c>
      <c r="K44" s="17" t="s">
        <v>100</v>
      </c>
      <c r="L44" s="16"/>
      <c r="M44" s="16">
        <v>6100</v>
      </c>
      <c r="N44" s="16">
        <v>720</v>
      </c>
      <c r="O44" s="12" t="s">
        <v>39</v>
      </c>
    </row>
    <row r="45" spans="1:15" ht="120" x14ac:dyDescent="0.25">
      <c r="A45" s="5"/>
      <c r="B45" s="7">
        <v>8</v>
      </c>
      <c r="C45" s="7" t="s">
        <v>195</v>
      </c>
      <c r="D45" s="7">
        <v>8431464688</v>
      </c>
      <c r="E45" s="4" t="s">
        <v>196</v>
      </c>
      <c r="F45" s="7">
        <v>560066</v>
      </c>
      <c r="G45" s="7" t="s">
        <v>197</v>
      </c>
      <c r="H45" s="7" t="s">
        <v>43</v>
      </c>
      <c r="I45" s="7">
        <v>1</v>
      </c>
      <c r="J45" s="7">
        <v>20</v>
      </c>
      <c r="K45" s="7"/>
      <c r="L45" s="7"/>
      <c r="M45" s="7">
        <v>7500</v>
      </c>
      <c r="N45" s="7">
        <f t="shared" si="4"/>
        <v>420</v>
      </c>
      <c r="O45" s="6" t="s">
        <v>39</v>
      </c>
    </row>
    <row r="46" spans="1:15" s="31" customFormat="1" ht="105" x14ac:dyDescent="0.25">
      <c r="A46" s="30"/>
      <c r="B46" s="16">
        <v>9</v>
      </c>
      <c r="C46" s="16" t="s">
        <v>198</v>
      </c>
      <c r="D46" s="16">
        <v>9537581710</v>
      </c>
      <c r="E46" s="13" t="s">
        <v>199</v>
      </c>
      <c r="F46" s="16">
        <v>363001</v>
      </c>
      <c r="G46" s="16" t="s">
        <v>200</v>
      </c>
      <c r="H46" s="16" t="s">
        <v>201</v>
      </c>
      <c r="I46" s="16">
        <v>1</v>
      </c>
      <c r="J46" s="16">
        <v>20</v>
      </c>
      <c r="K46" s="17" t="s">
        <v>100</v>
      </c>
      <c r="L46" s="16"/>
      <c r="M46" s="16">
        <v>7500</v>
      </c>
      <c r="N46" s="16">
        <v>720</v>
      </c>
      <c r="O46" s="12" t="s">
        <v>39</v>
      </c>
    </row>
    <row r="47" spans="1:15" s="31" customFormat="1" ht="120" x14ac:dyDescent="0.25">
      <c r="A47" s="30"/>
      <c r="B47" s="16">
        <v>10</v>
      </c>
      <c r="C47" s="16" t="s">
        <v>202</v>
      </c>
      <c r="D47" s="16">
        <v>9635922963</v>
      </c>
      <c r="E47" s="13" t="s">
        <v>203</v>
      </c>
      <c r="F47" s="16">
        <v>721145</v>
      </c>
      <c r="G47" s="16" t="s">
        <v>204</v>
      </c>
      <c r="H47" s="16" t="s">
        <v>26</v>
      </c>
      <c r="I47" s="16">
        <v>1</v>
      </c>
      <c r="J47" s="16">
        <v>20</v>
      </c>
      <c r="K47" s="17" t="s">
        <v>100</v>
      </c>
      <c r="L47" s="16"/>
      <c r="M47" s="16">
        <v>6900</v>
      </c>
      <c r="N47" s="16">
        <v>720</v>
      </c>
      <c r="O47" s="12" t="s">
        <v>39</v>
      </c>
    </row>
    <row r="48" spans="1:15" ht="60" x14ac:dyDescent="0.25">
      <c r="A48" s="5"/>
      <c r="B48" s="7">
        <v>11</v>
      </c>
      <c r="C48" s="7" t="s">
        <v>205</v>
      </c>
      <c r="D48" s="7" t="s">
        <v>206</v>
      </c>
      <c r="E48" s="4" t="s">
        <v>207</v>
      </c>
      <c r="F48" s="7">
        <v>755019</v>
      </c>
      <c r="G48" s="7" t="s">
        <v>208</v>
      </c>
      <c r="H48" s="7" t="s">
        <v>209</v>
      </c>
      <c r="I48" s="7">
        <v>1</v>
      </c>
      <c r="J48" s="7">
        <v>21</v>
      </c>
      <c r="K48" s="7"/>
      <c r="L48" s="7"/>
      <c r="M48" s="7">
        <v>7100</v>
      </c>
      <c r="N48" s="7">
        <v>441</v>
      </c>
      <c r="O48" s="6" t="s">
        <v>39</v>
      </c>
    </row>
    <row r="49" spans="1:15" s="31" customFormat="1" ht="90" x14ac:dyDescent="0.25">
      <c r="A49" s="30"/>
      <c r="B49" s="16">
        <v>12</v>
      </c>
      <c r="C49" s="16" t="s">
        <v>210</v>
      </c>
      <c r="D49" s="16">
        <v>7003881951</v>
      </c>
      <c r="E49" s="13" t="s">
        <v>211</v>
      </c>
      <c r="F49" s="16">
        <v>733129</v>
      </c>
      <c r="G49" s="16" t="s">
        <v>212</v>
      </c>
      <c r="H49" s="16" t="s">
        <v>26</v>
      </c>
      <c r="I49" s="16">
        <v>1</v>
      </c>
      <c r="J49" s="16">
        <v>21</v>
      </c>
      <c r="K49" s="17" t="s">
        <v>100</v>
      </c>
      <c r="L49" s="16"/>
      <c r="M49" s="16">
        <v>6900</v>
      </c>
      <c r="N49" s="16">
        <v>741</v>
      </c>
      <c r="O49" s="16" t="s">
        <v>164</v>
      </c>
    </row>
    <row r="50" spans="1:15" ht="60" x14ac:dyDescent="0.25">
      <c r="A50" s="5" t="s">
        <v>213</v>
      </c>
      <c r="B50" s="7">
        <v>1</v>
      </c>
      <c r="C50" s="7" t="s">
        <v>214</v>
      </c>
      <c r="D50" s="6">
        <v>7842715178</v>
      </c>
      <c r="E50" s="6" t="s">
        <v>215</v>
      </c>
      <c r="F50" s="7">
        <v>495009</v>
      </c>
      <c r="G50" s="7" t="s">
        <v>216</v>
      </c>
      <c r="H50" s="4" t="s">
        <v>217</v>
      </c>
      <c r="I50" s="7">
        <v>1</v>
      </c>
      <c r="J50" s="7">
        <v>0.5</v>
      </c>
      <c r="K50" s="7"/>
      <c r="L50" s="7"/>
      <c r="M50" s="7">
        <v>1000</v>
      </c>
      <c r="N50" s="8">
        <f t="shared" ref="N50:N53" si="5">IF(J50&lt;=0.5, 45,
   IF(J50&lt;=1, 50,
   IF(J50&lt;=1.5, 77,
   IF(J50&lt;=2, 92,
   IF(J50&lt;=10, 282, 420)))))</f>
        <v>45</v>
      </c>
      <c r="O50" s="6" t="s">
        <v>218</v>
      </c>
    </row>
    <row r="51" spans="1:15" ht="120" x14ac:dyDescent="0.25">
      <c r="A51" s="5" t="s">
        <v>219</v>
      </c>
      <c r="B51" s="7">
        <v>1</v>
      </c>
      <c r="C51" s="7" t="s">
        <v>220</v>
      </c>
      <c r="D51" s="6">
        <v>9398040630</v>
      </c>
      <c r="E51" s="4" t="s">
        <v>221</v>
      </c>
      <c r="F51" s="7">
        <v>502032</v>
      </c>
      <c r="G51" s="7" t="s">
        <v>67</v>
      </c>
      <c r="H51" s="4" t="s">
        <v>50</v>
      </c>
      <c r="I51" s="7">
        <v>1</v>
      </c>
      <c r="J51" s="7">
        <v>20</v>
      </c>
      <c r="K51" s="7"/>
      <c r="L51" s="7"/>
      <c r="M51" s="7">
        <v>6100</v>
      </c>
      <c r="N51" s="8">
        <f t="shared" si="5"/>
        <v>420</v>
      </c>
      <c r="O51" s="6" t="s">
        <v>39</v>
      </c>
    </row>
    <row r="52" spans="1:15" ht="90" x14ac:dyDescent="0.25">
      <c r="A52" s="5"/>
      <c r="B52" s="16">
        <v>2</v>
      </c>
      <c r="C52" s="16" t="s">
        <v>222</v>
      </c>
      <c r="D52" s="12">
        <v>8763176359</v>
      </c>
      <c r="E52" s="13" t="s">
        <v>223</v>
      </c>
      <c r="F52" s="16">
        <v>535003</v>
      </c>
      <c r="G52" s="16" t="s">
        <v>224</v>
      </c>
      <c r="H52" s="16" t="s">
        <v>19</v>
      </c>
      <c r="I52" s="16">
        <v>1</v>
      </c>
      <c r="J52" s="16">
        <v>20</v>
      </c>
      <c r="K52" s="17" t="s">
        <v>100</v>
      </c>
      <c r="L52" s="31"/>
      <c r="M52" s="16">
        <v>6100</v>
      </c>
      <c r="N52" s="15">
        <v>720</v>
      </c>
      <c r="O52" s="12" t="s">
        <v>39</v>
      </c>
    </row>
    <row r="53" spans="1:15" ht="75" x14ac:dyDescent="0.25">
      <c r="A53" s="5"/>
      <c r="B53" s="7">
        <v>3</v>
      </c>
      <c r="C53" s="7" t="s">
        <v>225</v>
      </c>
      <c r="D53" s="6">
        <v>8179776482</v>
      </c>
      <c r="E53" s="4" t="s">
        <v>226</v>
      </c>
      <c r="F53" s="7">
        <v>508001</v>
      </c>
      <c r="G53" s="7" t="s">
        <v>227</v>
      </c>
      <c r="H53" s="7" t="s">
        <v>50</v>
      </c>
      <c r="I53" s="7">
        <v>1</v>
      </c>
      <c r="J53" s="7">
        <v>20</v>
      </c>
      <c r="K53" s="7"/>
      <c r="L53" s="7"/>
      <c r="M53" s="7">
        <v>6100</v>
      </c>
      <c r="N53" s="8">
        <f t="shared" si="5"/>
        <v>420</v>
      </c>
      <c r="O53" s="6" t="s">
        <v>39</v>
      </c>
    </row>
    <row r="54" spans="1:15" ht="90" x14ac:dyDescent="0.25">
      <c r="A54" s="5"/>
      <c r="B54" s="16">
        <v>4</v>
      </c>
      <c r="C54" s="16" t="s">
        <v>228</v>
      </c>
      <c r="D54" s="12" t="s">
        <v>229</v>
      </c>
      <c r="E54" s="13" t="s">
        <v>230</v>
      </c>
      <c r="F54" s="16">
        <v>765001</v>
      </c>
      <c r="G54" s="16" t="s">
        <v>231</v>
      </c>
      <c r="H54" s="16" t="s">
        <v>209</v>
      </c>
      <c r="I54" s="16">
        <v>1</v>
      </c>
      <c r="J54" s="16">
        <v>20</v>
      </c>
      <c r="K54" s="17" t="s">
        <v>100</v>
      </c>
      <c r="L54" s="31"/>
      <c r="M54" s="16">
        <v>6100</v>
      </c>
      <c r="N54" s="15">
        <v>720</v>
      </c>
      <c r="O54" s="12" t="s">
        <v>39</v>
      </c>
    </row>
    <row r="55" spans="1:15" ht="90" x14ac:dyDescent="0.25">
      <c r="A55" s="5"/>
      <c r="B55" s="18">
        <v>5</v>
      </c>
      <c r="C55" s="18" t="s">
        <v>232</v>
      </c>
      <c r="D55" s="18" t="s">
        <v>233</v>
      </c>
      <c r="E55" s="19" t="s">
        <v>234</v>
      </c>
      <c r="F55" s="18">
        <v>517501</v>
      </c>
      <c r="G55" s="18" t="s">
        <v>235</v>
      </c>
      <c r="H55" s="18" t="s">
        <v>19</v>
      </c>
      <c r="I55" s="18">
        <v>4</v>
      </c>
      <c r="J55" s="18">
        <v>70</v>
      </c>
      <c r="K55" s="18"/>
      <c r="L55" s="20" t="s">
        <v>236</v>
      </c>
      <c r="M55" s="18">
        <v>24400</v>
      </c>
      <c r="N55" s="21">
        <v>0</v>
      </c>
      <c r="O55" s="22" t="s">
        <v>39</v>
      </c>
    </row>
    <row r="56" spans="1:15" ht="75" x14ac:dyDescent="0.25">
      <c r="A56" s="5"/>
      <c r="B56" s="7">
        <v>6</v>
      </c>
      <c r="C56" s="7" t="s">
        <v>237</v>
      </c>
      <c r="D56" s="7">
        <v>9345555032</v>
      </c>
      <c r="E56" s="4" t="s">
        <v>238</v>
      </c>
      <c r="F56" s="7">
        <v>302018</v>
      </c>
      <c r="G56" s="7" t="s">
        <v>239</v>
      </c>
      <c r="H56" s="7" t="s">
        <v>240</v>
      </c>
      <c r="I56" s="7">
        <v>1</v>
      </c>
      <c r="J56" s="7">
        <v>20</v>
      </c>
      <c r="K56" s="7"/>
      <c r="L56" s="7"/>
      <c r="M56" s="7">
        <v>6900</v>
      </c>
      <c r="N56" s="8">
        <f>IF(J56&lt;=0.5, 45,
   IF(J56&lt;=1, 50,
   IF(J56&lt;=1.5, 77,
   IF(J56&lt;=2, 92,
   IF(J56&lt;=10, 282, 420)))))</f>
        <v>420</v>
      </c>
      <c r="O56" s="6" t="s">
        <v>39</v>
      </c>
    </row>
    <row r="57" spans="1:15" ht="150" x14ac:dyDescent="0.25">
      <c r="A57" s="5"/>
      <c r="B57" s="16">
        <v>7</v>
      </c>
      <c r="C57" s="16" t="s">
        <v>241</v>
      </c>
      <c r="D57" s="12" t="s">
        <v>242</v>
      </c>
      <c r="E57" s="13" t="s">
        <v>243</v>
      </c>
      <c r="F57" s="16">
        <v>743609</v>
      </c>
      <c r="G57" s="16" t="s">
        <v>244</v>
      </c>
      <c r="H57" s="16" t="s">
        <v>26</v>
      </c>
      <c r="I57" s="16">
        <v>1</v>
      </c>
      <c r="J57" s="16">
        <v>21</v>
      </c>
      <c r="K57" s="17" t="s">
        <v>100</v>
      </c>
      <c r="L57" s="31"/>
      <c r="M57" s="16">
        <v>6900</v>
      </c>
      <c r="N57" s="15">
        <v>741</v>
      </c>
      <c r="O57" s="12" t="s">
        <v>164</v>
      </c>
    </row>
    <row r="58" spans="1:15" ht="150" x14ac:dyDescent="0.25">
      <c r="A58" s="5"/>
      <c r="B58" s="16">
        <v>8</v>
      </c>
      <c r="C58" s="16" t="s">
        <v>245</v>
      </c>
      <c r="D58" s="16" t="s">
        <v>246</v>
      </c>
      <c r="E58" s="13" t="s">
        <v>247</v>
      </c>
      <c r="F58" s="16">
        <v>742137</v>
      </c>
      <c r="G58" s="16" t="s">
        <v>248</v>
      </c>
      <c r="H58" s="16" t="s">
        <v>26</v>
      </c>
      <c r="I58" s="16">
        <v>1</v>
      </c>
      <c r="J58" s="16">
        <v>21</v>
      </c>
      <c r="K58" s="17" t="s">
        <v>100</v>
      </c>
      <c r="L58" s="31"/>
      <c r="M58" s="16">
        <v>6900</v>
      </c>
      <c r="N58" s="15">
        <v>741</v>
      </c>
      <c r="O58" s="12" t="s">
        <v>164</v>
      </c>
    </row>
    <row r="59" spans="1:15" ht="105" x14ac:dyDescent="0.25">
      <c r="A59" s="5"/>
      <c r="B59" s="16">
        <v>9</v>
      </c>
      <c r="C59" s="16" t="s">
        <v>249</v>
      </c>
      <c r="D59" s="16" t="s">
        <v>250</v>
      </c>
      <c r="E59" s="13" t="s">
        <v>251</v>
      </c>
      <c r="F59" s="16">
        <v>733134</v>
      </c>
      <c r="G59" s="16" t="s">
        <v>252</v>
      </c>
      <c r="H59" s="16" t="s">
        <v>26</v>
      </c>
      <c r="I59" s="16">
        <v>1</v>
      </c>
      <c r="J59" s="16">
        <v>21</v>
      </c>
      <c r="K59" s="17" t="s">
        <v>100</v>
      </c>
      <c r="L59" s="31"/>
      <c r="M59" s="16">
        <v>6900</v>
      </c>
      <c r="N59" s="15">
        <v>741</v>
      </c>
      <c r="O59" s="12" t="s">
        <v>164</v>
      </c>
    </row>
    <row r="60" spans="1:15" ht="165" x14ac:dyDescent="0.25">
      <c r="A60" s="5"/>
      <c r="B60" s="7">
        <v>10</v>
      </c>
      <c r="C60" s="7" t="s">
        <v>253</v>
      </c>
      <c r="D60" s="7">
        <v>7679082724</v>
      </c>
      <c r="E60" s="4" t="s">
        <v>254</v>
      </c>
      <c r="F60" s="7">
        <v>713347</v>
      </c>
      <c r="G60" s="7" t="s">
        <v>255</v>
      </c>
      <c r="H60" s="7" t="s">
        <v>26</v>
      </c>
      <c r="I60" s="7">
        <v>2</v>
      </c>
      <c r="J60" s="7">
        <v>42</v>
      </c>
      <c r="K60" s="7"/>
      <c r="L60" s="7"/>
      <c r="M60" s="7">
        <v>13800</v>
      </c>
      <c r="N60" s="8">
        <v>882</v>
      </c>
      <c r="O60" s="6" t="s">
        <v>164</v>
      </c>
    </row>
    <row r="61" spans="1:15" ht="165" x14ac:dyDescent="0.25">
      <c r="A61" s="5"/>
      <c r="B61" s="16">
        <v>11</v>
      </c>
      <c r="C61" s="16" t="s">
        <v>256</v>
      </c>
      <c r="D61" s="16" t="s">
        <v>257</v>
      </c>
      <c r="E61" s="13" t="s">
        <v>258</v>
      </c>
      <c r="F61" s="16">
        <v>722203</v>
      </c>
      <c r="G61" s="16" t="s">
        <v>25</v>
      </c>
      <c r="H61" s="16" t="s">
        <v>26</v>
      </c>
      <c r="I61" s="16">
        <v>2</v>
      </c>
      <c r="J61" s="16">
        <v>42</v>
      </c>
      <c r="K61" s="17" t="s">
        <v>100</v>
      </c>
      <c r="L61" s="31"/>
      <c r="M61" s="16">
        <v>13800</v>
      </c>
      <c r="N61" s="15">
        <v>1182</v>
      </c>
      <c r="O61" s="16" t="s">
        <v>20</v>
      </c>
    </row>
    <row r="62" spans="1:15" ht="135" x14ac:dyDescent="0.25">
      <c r="A62" s="5"/>
      <c r="B62" s="16">
        <v>12</v>
      </c>
      <c r="C62" s="16" t="s">
        <v>259</v>
      </c>
      <c r="D62" s="16">
        <v>9093949340</v>
      </c>
      <c r="E62" s="13" t="s">
        <v>260</v>
      </c>
      <c r="F62" s="16">
        <v>713212</v>
      </c>
      <c r="G62" s="16" t="s">
        <v>261</v>
      </c>
      <c r="H62" s="16" t="s">
        <v>26</v>
      </c>
      <c r="I62" s="16">
        <v>2</v>
      </c>
      <c r="J62" s="16">
        <v>42</v>
      </c>
      <c r="K62" s="17" t="s">
        <v>100</v>
      </c>
      <c r="L62" s="31"/>
      <c r="M62" s="16">
        <v>13800</v>
      </c>
      <c r="N62" s="15">
        <v>1182</v>
      </c>
      <c r="O62" s="16" t="s">
        <v>20</v>
      </c>
    </row>
    <row r="63" spans="1:15" ht="90" x14ac:dyDescent="0.25">
      <c r="A63" s="5"/>
      <c r="B63" s="7">
        <v>13</v>
      </c>
      <c r="C63" s="7" t="s">
        <v>262</v>
      </c>
      <c r="D63" s="7" t="s">
        <v>263</v>
      </c>
      <c r="E63" s="4" t="s">
        <v>264</v>
      </c>
      <c r="F63" s="7">
        <v>695004</v>
      </c>
      <c r="G63" s="7" t="s">
        <v>142</v>
      </c>
      <c r="H63" s="7" t="s">
        <v>143</v>
      </c>
      <c r="I63" s="7">
        <v>1</v>
      </c>
      <c r="J63" s="7">
        <v>10</v>
      </c>
      <c r="K63" s="7"/>
      <c r="L63" s="7"/>
      <c r="M63" s="7">
        <v>3100</v>
      </c>
      <c r="N63" s="7">
        <f t="shared" ref="N63:N65" si="6">IF(J63&lt;=0.5, 45,
   IF(J63&lt;=1, 50,
   IF(J63&lt;=1.5, 77,
   IF(J63&lt;=2, 92,
   IF(J63&lt;=10, 282, 420)))))</f>
        <v>282</v>
      </c>
      <c r="O63" s="7" t="s">
        <v>20</v>
      </c>
    </row>
    <row r="64" spans="1:15" ht="90" x14ac:dyDescent="0.25">
      <c r="A64" s="5"/>
      <c r="B64" s="7">
        <v>14</v>
      </c>
      <c r="C64" s="7" t="s">
        <v>265</v>
      </c>
      <c r="D64" s="7">
        <v>8050067428</v>
      </c>
      <c r="E64" s="4" t="s">
        <v>266</v>
      </c>
      <c r="F64" s="7">
        <v>560060</v>
      </c>
      <c r="G64" s="7" t="s">
        <v>43</v>
      </c>
      <c r="H64" s="7" t="s">
        <v>267</v>
      </c>
      <c r="I64" s="7">
        <v>1</v>
      </c>
      <c r="J64" s="7">
        <v>20</v>
      </c>
      <c r="K64" s="7"/>
      <c r="L64" s="7"/>
      <c r="M64" s="7">
        <v>6100</v>
      </c>
      <c r="N64" s="7">
        <f t="shared" si="6"/>
        <v>420</v>
      </c>
      <c r="O64" s="7" t="s">
        <v>20</v>
      </c>
    </row>
    <row r="65" spans="1:15" ht="90" x14ac:dyDescent="0.25">
      <c r="A65" s="5"/>
      <c r="B65" s="7">
        <v>15</v>
      </c>
      <c r="C65" s="7" t="s">
        <v>268</v>
      </c>
      <c r="D65" s="6" t="s">
        <v>269</v>
      </c>
      <c r="E65" s="4" t="s">
        <v>270</v>
      </c>
      <c r="F65" s="7">
        <v>736182</v>
      </c>
      <c r="G65" s="7" t="s">
        <v>271</v>
      </c>
      <c r="H65" s="7" t="s">
        <v>26</v>
      </c>
      <c r="I65" s="7">
        <v>2</v>
      </c>
      <c r="J65" s="7">
        <v>10</v>
      </c>
      <c r="K65" s="7"/>
      <c r="L65" s="7"/>
      <c r="M65" s="7">
        <v>3000</v>
      </c>
      <c r="N65" s="7">
        <f t="shared" si="6"/>
        <v>282</v>
      </c>
      <c r="O65" s="7" t="s">
        <v>20</v>
      </c>
    </row>
    <row r="66" spans="1:15" ht="120" x14ac:dyDescent="0.25">
      <c r="A66" s="5" t="s">
        <v>272</v>
      </c>
      <c r="B66" s="7">
        <v>1</v>
      </c>
      <c r="C66" s="7" t="s">
        <v>273</v>
      </c>
      <c r="D66" s="6">
        <v>6290453887</v>
      </c>
      <c r="E66" s="4" t="s">
        <v>274</v>
      </c>
      <c r="F66" s="7">
        <v>712246</v>
      </c>
      <c r="G66" s="7" t="s">
        <v>275</v>
      </c>
      <c r="H66" s="6" t="s">
        <v>26</v>
      </c>
      <c r="I66" s="7">
        <v>1</v>
      </c>
      <c r="J66" s="7">
        <v>24</v>
      </c>
      <c r="K66" s="7"/>
      <c r="L66" s="1"/>
      <c r="M66" s="7">
        <v>8500</v>
      </c>
      <c r="N66" s="8">
        <v>504</v>
      </c>
      <c r="O66" s="6" t="s">
        <v>39</v>
      </c>
    </row>
    <row r="67" spans="1:15" ht="90" x14ac:dyDescent="0.25">
      <c r="A67" s="5"/>
      <c r="B67" s="7">
        <v>2</v>
      </c>
      <c r="C67" s="7" t="s">
        <v>276</v>
      </c>
      <c r="D67" s="6" t="s">
        <v>277</v>
      </c>
      <c r="E67" s="4" t="s">
        <v>278</v>
      </c>
      <c r="F67" s="7">
        <v>560064</v>
      </c>
      <c r="G67" s="7" t="s">
        <v>43</v>
      </c>
      <c r="H67" s="7" t="s">
        <v>44</v>
      </c>
      <c r="I67" s="7">
        <v>1</v>
      </c>
      <c r="J67" s="7">
        <v>20</v>
      </c>
      <c r="K67" s="7"/>
      <c r="L67" s="23"/>
      <c r="M67" s="7">
        <v>7500</v>
      </c>
      <c r="N67" s="8">
        <v>420</v>
      </c>
      <c r="O67" s="6" t="s">
        <v>39</v>
      </c>
    </row>
    <row r="68" spans="1:15" ht="75" x14ac:dyDescent="0.25">
      <c r="A68" s="5"/>
      <c r="B68" s="7">
        <v>3</v>
      </c>
      <c r="C68" s="7" t="s">
        <v>279</v>
      </c>
      <c r="D68" s="6">
        <v>7977275791</v>
      </c>
      <c r="E68" s="4" t="s">
        <v>280</v>
      </c>
      <c r="F68" s="7">
        <v>400067</v>
      </c>
      <c r="G68" s="7" t="s">
        <v>281</v>
      </c>
      <c r="H68" s="7" t="s">
        <v>32</v>
      </c>
      <c r="I68" s="7">
        <v>1</v>
      </c>
      <c r="J68" s="7">
        <v>20</v>
      </c>
      <c r="K68" s="7"/>
      <c r="L68" s="7"/>
      <c r="M68" s="7">
        <v>6900</v>
      </c>
      <c r="N68" s="8">
        <v>420</v>
      </c>
      <c r="O68" s="6" t="s">
        <v>39</v>
      </c>
    </row>
    <row r="69" spans="1:15" ht="105" x14ac:dyDescent="0.25">
      <c r="A69" s="5"/>
      <c r="B69" s="7">
        <v>4</v>
      </c>
      <c r="C69" s="7" t="s">
        <v>282</v>
      </c>
      <c r="D69" s="6" t="s">
        <v>283</v>
      </c>
      <c r="E69" s="4" t="s">
        <v>284</v>
      </c>
      <c r="F69" s="7">
        <v>110044</v>
      </c>
      <c r="G69" s="7" t="s">
        <v>285</v>
      </c>
      <c r="H69" s="7" t="s">
        <v>286</v>
      </c>
      <c r="I69" s="7">
        <v>1</v>
      </c>
      <c r="J69" s="7">
        <v>21</v>
      </c>
      <c r="K69" s="7"/>
      <c r="L69" s="23"/>
      <c r="M69" s="7">
        <v>6900</v>
      </c>
      <c r="N69" s="8">
        <v>441</v>
      </c>
      <c r="O69" s="6" t="s">
        <v>39</v>
      </c>
    </row>
    <row r="70" spans="1:15" ht="75" x14ac:dyDescent="0.25">
      <c r="A70" s="5" t="s">
        <v>287</v>
      </c>
      <c r="B70" s="7">
        <v>1</v>
      </c>
      <c r="C70" s="7" t="s">
        <v>288</v>
      </c>
      <c r="D70" s="6">
        <v>8454883324</v>
      </c>
      <c r="E70" s="4" t="s">
        <v>289</v>
      </c>
      <c r="F70" s="7">
        <v>421202</v>
      </c>
      <c r="G70" s="7" t="s">
        <v>290</v>
      </c>
      <c r="H70" s="6" t="s">
        <v>32</v>
      </c>
      <c r="I70" s="7">
        <v>1</v>
      </c>
      <c r="J70" s="7">
        <v>25</v>
      </c>
      <c r="K70" s="7"/>
      <c r="L70" s="1"/>
      <c r="M70" s="24">
        <v>8500</v>
      </c>
      <c r="N70" s="8">
        <v>525</v>
      </c>
      <c r="O70" s="6" t="s">
        <v>39</v>
      </c>
    </row>
    <row r="71" spans="1:15" ht="135" x14ac:dyDescent="0.25">
      <c r="A71" s="5"/>
      <c r="B71" s="7">
        <v>2</v>
      </c>
      <c r="C71" s="7" t="s">
        <v>291</v>
      </c>
      <c r="D71" s="6">
        <v>6305165278</v>
      </c>
      <c r="E71" s="4" t="s">
        <v>292</v>
      </c>
      <c r="F71" s="7">
        <v>515411</v>
      </c>
      <c r="G71" s="7" t="s">
        <v>293</v>
      </c>
      <c r="H71" s="7" t="s">
        <v>75</v>
      </c>
      <c r="I71" s="7">
        <v>1</v>
      </c>
      <c r="J71" s="7">
        <v>10</v>
      </c>
      <c r="K71" s="7"/>
      <c r="L71" s="23"/>
      <c r="M71" s="7">
        <v>3100</v>
      </c>
      <c r="N71" s="8">
        <f t="shared" ref="N71:N72" si="7">IF(J71&lt;=0.5, 45,
   IF(J71&lt;=1, 50,
   IF(J71&lt;=1.5, 77,
   IF(J71&lt;=2, 92,
   IF(J71&lt;=10, 282, 420)))))</f>
        <v>282</v>
      </c>
      <c r="O71" s="6" t="s">
        <v>20</v>
      </c>
    </row>
    <row r="72" spans="1:15" ht="90" x14ac:dyDescent="0.25">
      <c r="A72" s="5"/>
      <c r="B72" s="7">
        <v>3</v>
      </c>
      <c r="C72" s="7" t="s">
        <v>294</v>
      </c>
      <c r="D72" s="6">
        <v>8074003979</v>
      </c>
      <c r="E72" s="4" t="s">
        <v>295</v>
      </c>
      <c r="F72" s="7">
        <v>515411</v>
      </c>
      <c r="G72" s="7" t="s">
        <v>293</v>
      </c>
      <c r="H72" s="7" t="s">
        <v>75</v>
      </c>
      <c r="I72" s="7">
        <v>1</v>
      </c>
      <c r="J72" s="7">
        <v>10</v>
      </c>
      <c r="K72" s="7"/>
      <c r="L72" s="7"/>
      <c r="M72" s="7">
        <v>3100</v>
      </c>
      <c r="N72" s="8">
        <f t="shared" si="7"/>
        <v>282</v>
      </c>
      <c r="O72" s="6" t="s">
        <v>20</v>
      </c>
    </row>
    <row r="73" spans="1:15" ht="45" x14ac:dyDescent="0.25">
      <c r="A73" s="5"/>
      <c r="B73" s="7">
        <v>4</v>
      </c>
      <c r="C73" s="7" t="s">
        <v>296</v>
      </c>
      <c r="D73" s="7" t="s">
        <v>297</v>
      </c>
      <c r="E73" s="4" t="s">
        <v>298</v>
      </c>
      <c r="F73" s="7">
        <v>452003</v>
      </c>
      <c r="G73" s="7" t="s">
        <v>299</v>
      </c>
      <c r="H73" s="7" t="s">
        <v>38</v>
      </c>
      <c r="I73" s="7">
        <v>1</v>
      </c>
      <c r="J73" s="7">
        <v>21</v>
      </c>
      <c r="K73" s="7"/>
      <c r="L73" s="7"/>
      <c r="M73" s="7">
        <v>8000</v>
      </c>
      <c r="N73" s="7">
        <v>441</v>
      </c>
      <c r="O73" s="7" t="s">
        <v>300</v>
      </c>
    </row>
    <row r="74" spans="1:15" ht="60" x14ac:dyDescent="0.25">
      <c r="A74" s="5"/>
      <c r="B74" s="7">
        <v>5</v>
      </c>
      <c r="C74" s="7" t="s">
        <v>301</v>
      </c>
      <c r="D74" s="7">
        <v>9374834306</v>
      </c>
      <c r="E74" s="4" t="s">
        <v>302</v>
      </c>
      <c r="F74" s="7">
        <v>395003</v>
      </c>
      <c r="G74" s="7" t="s">
        <v>303</v>
      </c>
      <c r="H74" s="7" t="s">
        <v>201</v>
      </c>
      <c r="I74" s="7">
        <v>1</v>
      </c>
      <c r="J74" s="7">
        <v>2</v>
      </c>
      <c r="K74" s="7"/>
      <c r="L74" s="7"/>
      <c r="M74" s="7">
        <v>560</v>
      </c>
      <c r="N74" s="7">
        <f t="shared" ref="N74" si="8">IF(J74&lt;=0.5, 45,
   IF(J74&lt;=1, 50,
   IF(J74&lt;=1.5, 77,
   IF(J74&lt;=2, 92,
   IF(J74&lt;=10, 282, 420)))))</f>
        <v>92</v>
      </c>
      <c r="O74" s="7" t="s">
        <v>139</v>
      </c>
    </row>
    <row r="75" spans="1:15" ht="105" x14ac:dyDescent="0.25">
      <c r="A75" s="5" t="s">
        <v>304</v>
      </c>
      <c r="B75" s="16">
        <v>1</v>
      </c>
      <c r="C75" s="25" t="s">
        <v>305</v>
      </c>
      <c r="D75" s="12" t="s">
        <v>306</v>
      </c>
      <c r="E75" s="13" t="s">
        <v>187</v>
      </c>
      <c r="F75" s="25">
        <v>534312</v>
      </c>
      <c r="G75" s="26" t="s">
        <v>307</v>
      </c>
      <c r="H75" s="26" t="s">
        <v>75</v>
      </c>
      <c r="I75" s="16">
        <v>1</v>
      </c>
      <c r="J75" s="16">
        <v>20</v>
      </c>
      <c r="K75" s="17" t="s">
        <v>100</v>
      </c>
      <c r="L75" s="31"/>
      <c r="M75" s="16">
        <v>6100</v>
      </c>
      <c r="N75" s="16">
        <v>720</v>
      </c>
      <c r="O75" s="12" t="s">
        <v>39</v>
      </c>
    </row>
    <row r="76" spans="1:15" ht="150" x14ac:dyDescent="0.25">
      <c r="A76" s="5"/>
      <c r="B76" s="7">
        <v>2</v>
      </c>
      <c r="C76" s="27" t="s">
        <v>308</v>
      </c>
      <c r="D76" s="6" t="s">
        <v>309</v>
      </c>
      <c r="E76" s="4" t="s">
        <v>310</v>
      </c>
      <c r="F76" s="27">
        <v>534312</v>
      </c>
      <c r="G76" s="28" t="s">
        <v>307</v>
      </c>
      <c r="H76" s="28" t="s">
        <v>75</v>
      </c>
      <c r="I76" s="7">
        <v>1</v>
      </c>
      <c r="J76" s="7">
        <v>20</v>
      </c>
      <c r="K76" s="7"/>
      <c r="L76" s="7"/>
      <c r="M76" s="7">
        <v>6100</v>
      </c>
      <c r="N76" s="7">
        <f t="shared" ref="N76:N78" si="9">IF(J76&lt;=0.5, 45,
   IF(J76&lt;=1, 50,
   IF(J76&lt;=1.5, 77,
   IF(J76&lt;=2, 92,
   IF(J76&lt;=10, 282, 420)))))</f>
        <v>420</v>
      </c>
      <c r="O76" s="6" t="s">
        <v>39</v>
      </c>
    </row>
    <row r="77" spans="1:15" ht="90" x14ac:dyDescent="0.25">
      <c r="A77" s="5"/>
      <c r="B77" s="16">
        <v>3</v>
      </c>
      <c r="C77" s="25" t="s">
        <v>232</v>
      </c>
      <c r="D77" s="12" t="s">
        <v>233</v>
      </c>
      <c r="E77" s="13" t="s">
        <v>234</v>
      </c>
      <c r="F77" s="25">
        <v>517501</v>
      </c>
      <c r="G77" s="26" t="s">
        <v>235</v>
      </c>
      <c r="H77" s="26" t="s">
        <v>75</v>
      </c>
      <c r="I77" s="16">
        <v>4</v>
      </c>
      <c r="J77" s="16">
        <v>69</v>
      </c>
      <c r="K77" s="17" t="s">
        <v>100</v>
      </c>
      <c r="L77" s="31"/>
      <c r="M77" s="16">
        <v>24400</v>
      </c>
      <c r="N77" s="16">
        <v>1749</v>
      </c>
      <c r="O77" s="12" t="s">
        <v>39</v>
      </c>
    </row>
    <row r="78" spans="1:15" ht="150" x14ac:dyDescent="0.25">
      <c r="A78" s="5"/>
      <c r="B78" s="7">
        <v>4</v>
      </c>
      <c r="C78" s="27" t="s">
        <v>311</v>
      </c>
      <c r="D78" s="6" t="s">
        <v>312</v>
      </c>
      <c r="E78" s="4" t="s">
        <v>313</v>
      </c>
      <c r="F78" s="27">
        <v>520007</v>
      </c>
      <c r="G78" s="28" t="s">
        <v>86</v>
      </c>
      <c r="H78" s="28" t="s">
        <v>75</v>
      </c>
      <c r="I78" s="7">
        <v>1</v>
      </c>
      <c r="J78" s="7">
        <v>20</v>
      </c>
      <c r="K78" s="7"/>
      <c r="L78" s="7"/>
      <c r="M78" s="7">
        <v>6100</v>
      </c>
      <c r="N78" s="7">
        <f t="shared" si="9"/>
        <v>420</v>
      </c>
      <c r="O78" s="6" t="s">
        <v>39</v>
      </c>
    </row>
    <row r="79" spans="1:15" ht="105" x14ac:dyDescent="0.25">
      <c r="A79" s="5"/>
      <c r="B79" s="7">
        <v>5</v>
      </c>
      <c r="C79" s="27" t="s">
        <v>314</v>
      </c>
      <c r="D79" s="6">
        <v>7978013996</v>
      </c>
      <c r="E79" s="4" t="s">
        <v>315</v>
      </c>
      <c r="F79" s="27">
        <v>759128</v>
      </c>
      <c r="G79" s="28" t="s">
        <v>316</v>
      </c>
      <c r="H79" s="28" t="s">
        <v>209</v>
      </c>
      <c r="I79" s="7">
        <v>1</v>
      </c>
      <c r="J79" s="7">
        <v>21</v>
      </c>
      <c r="K79" s="7"/>
      <c r="L79" s="7"/>
      <c r="M79" s="7">
        <v>7100</v>
      </c>
      <c r="N79" s="7">
        <v>441</v>
      </c>
      <c r="O79" s="6" t="s">
        <v>20</v>
      </c>
    </row>
    <row r="80" spans="1:15" ht="90" x14ac:dyDescent="0.25">
      <c r="A80" s="5"/>
      <c r="B80" s="16">
        <v>6</v>
      </c>
      <c r="C80" s="25" t="s">
        <v>317</v>
      </c>
      <c r="D80" s="12" t="s">
        <v>318</v>
      </c>
      <c r="E80" s="13" t="s">
        <v>319</v>
      </c>
      <c r="F80" s="25">
        <v>721306</v>
      </c>
      <c r="G80" s="26" t="s">
        <v>320</v>
      </c>
      <c r="H80" s="26" t="s">
        <v>26</v>
      </c>
      <c r="I80" s="16">
        <v>1</v>
      </c>
      <c r="J80" s="16">
        <v>21</v>
      </c>
      <c r="K80" s="17" t="s">
        <v>100</v>
      </c>
      <c r="L80" s="31"/>
      <c r="M80" s="16">
        <v>6900</v>
      </c>
      <c r="N80" s="16">
        <v>741</v>
      </c>
      <c r="O80" s="12" t="s">
        <v>164</v>
      </c>
    </row>
    <row r="81" spans="1:15" ht="90" x14ac:dyDescent="0.25">
      <c r="A81" s="5"/>
      <c r="B81" s="7">
        <v>7</v>
      </c>
      <c r="C81" s="7" t="s">
        <v>64</v>
      </c>
      <c r="D81" s="7" t="s">
        <v>65</v>
      </c>
      <c r="E81" s="4" t="s">
        <v>66</v>
      </c>
      <c r="F81" s="7">
        <v>500049</v>
      </c>
      <c r="G81" s="7" t="s">
        <v>67</v>
      </c>
      <c r="H81" s="7" t="s">
        <v>68</v>
      </c>
      <c r="I81" s="7">
        <v>2</v>
      </c>
      <c r="J81" s="7">
        <v>35</v>
      </c>
      <c r="K81" s="7" t="s">
        <v>56</v>
      </c>
      <c r="L81" s="7"/>
      <c r="M81" s="7">
        <v>20000</v>
      </c>
      <c r="N81" s="7">
        <v>735</v>
      </c>
      <c r="O81" s="7" t="s">
        <v>57</v>
      </c>
    </row>
    <row r="82" spans="1:15" ht="90" x14ac:dyDescent="0.25">
      <c r="A82" s="5" t="s">
        <v>321</v>
      </c>
      <c r="B82" s="7">
        <v>1</v>
      </c>
      <c r="C82" s="27" t="s">
        <v>322</v>
      </c>
      <c r="D82" s="6">
        <v>9549702784</v>
      </c>
      <c r="E82" s="4" t="s">
        <v>323</v>
      </c>
      <c r="F82" s="27">
        <v>321001</v>
      </c>
      <c r="G82" s="28" t="s">
        <v>324</v>
      </c>
      <c r="H82" s="28" t="s">
        <v>325</v>
      </c>
      <c r="I82" s="7">
        <v>1</v>
      </c>
      <c r="J82" s="7">
        <v>1.5</v>
      </c>
      <c r="K82" s="7"/>
      <c r="L82" s="23"/>
      <c r="M82" s="7">
        <v>1000</v>
      </c>
      <c r="N82" s="7">
        <f t="shared" ref="N82:N107" si="10">IF(J82&lt;=0.5, 45,
   IF(J82&lt;=1, 50,
   IF(J82&lt;=1.5, 77,
   IF(J82&lt;=2, 92,
   IF(J82&lt;=10, 282, 420)))))</f>
        <v>77</v>
      </c>
      <c r="O82" s="6" t="s">
        <v>326</v>
      </c>
    </row>
    <row r="83" spans="1:15" ht="60" x14ac:dyDescent="0.25">
      <c r="A83" s="5"/>
      <c r="B83" s="7">
        <v>2</v>
      </c>
      <c r="C83" s="27" t="s">
        <v>327</v>
      </c>
      <c r="D83" s="6">
        <v>9348072277</v>
      </c>
      <c r="E83" s="4" t="s">
        <v>328</v>
      </c>
      <c r="F83" s="27">
        <v>600036</v>
      </c>
      <c r="G83" s="28" t="s">
        <v>329</v>
      </c>
      <c r="H83" s="28" t="s">
        <v>83</v>
      </c>
      <c r="I83" s="7">
        <v>1</v>
      </c>
      <c r="J83" s="7">
        <v>1.5</v>
      </c>
      <c r="K83" s="7"/>
      <c r="L83" s="7"/>
      <c r="M83" s="7">
        <v>1000</v>
      </c>
      <c r="N83" s="7">
        <f t="shared" si="10"/>
        <v>77</v>
      </c>
      <c r="O83" s="6" t="s">
        <v>326</v>
      </c>
    </row>
    <row r="84" spans="1:15" ht="120" x14ac:dyDescent="0.25">
      <c r="A84" s="5"/>
      <c r="B84" s="7">
        <v>3</v>
      </c>
      <c r="C84" s="27" t="s">
        <v>330</v>
      </c>
      <c r="D84" s="6">
        <v>9399621172</v>
      </c>
      <c r="E84" s="4" t="s">
        <v>331</v>
      </c>
      <c r="F84" s="27">
        <v>560029</v>
      </c>
      <c r="G84" s="28" t="s">
        <v>332</v>
      </c>
      <c r="H84" s="28" t="s">
        <v>44</v>
      </c>
      <c r="I84" s="7">
        <v>1</v>
      </c>
      <c r="J84" s="7">
        <v>1.5</v>
      </c>
      <c r="K84" s="7"/>
      <c r="L84" s="23"/>
      <c r="M84" s="7">
        <v>1000</v>
      </c>
      <c r="N84" s="7">
        <f t="shared" si="10"/>
        <v>77</v>
      </c>
      <c r="O84" s="6" t="s">
        <v>326</v>
      </c>
    </row>
    <row r="85" spans="1:15" ht="45" x14ac:dyDescent="0.25">
      <c r="A85" s="5"/>
      <c r="B85" s="7">
        <v>4</v>
      </c>
      <c r="C85" s="27" t="s">
        <v>333</v>
      </c>
      <c r="D85" s="6">
        <v>7750825825</v>
      </c>
      <c r="E85" s="4" t="s">
        <v>334</v>
      </c>
      <c r="F85" s="27">
        <v>844125</v>
      </c>
      <c r="G85" s="28" t="s">
        <v>335</v>
      </c>
      <c r="H85" s="28" t="s">
        <v>91</v>
      </c>
      <c r="I85" s="7">
        <v>1</v>
      </c>
      <c r="J85" s="7">
        <v>1.5</v>
      </c>
      <c r="K85" s="7"/>
      <c r="L85" s="7"/>
      <c r="M85" s="7">
        <v>1000</v>
      </c>
      <c r="N85" s="7">
        <f t="shared" si="10"/>
        <v>77</v>
      </c>
      <c r="O85" s="6" t="s">
        <v>326</v>
      </c>
    </row>
    <row r="86" spans="1:15" ht="75" x14ac:dyDescent="0.25">
      <c r="A86" s="5"/>
      <c r="B86" s="7">
        <v>5</v>
      </c>
      <c r="C86" s="27" t="s">
        <v>336</v>
      </c>
      <c r="D86" s="6">
        <v>9437866985</v>
      </c>
      <c r="E86" s="4" t="s">
        <v>337</v>
      </c>
      <c r="F86" s="27">
        <v>753010</v>
      </c>
      <c r="G86" s="28" t="s">
        <v>338</v>
      </c>
      <c r="H86" s="28" t="s">
        <v>209</v>
      </c>
      <c r="I86" s="7">
        <v>1</v>
      </c>
      <c r="J86" s="7">
        <v>1.5</v>
      </c>
      <c r="K86" s="7"/>
      <c r="L86" s="7"/>
      <c r="M86" s="7">
        <v>1000</v>
      </c>
      <c r="N86" s="7">
        <f t="shared" si="10"/>
        <v>77</v>
      </c>
      <c r="O86" s="6" t="s">
        <v>326</v>
      </c>
    </row>
    <row r="87" spans="1:15" ht="60" x14ac:dyDescent="0.25">
      <c r="A87" s="5"/>
      <c r="B87" s="7">
        <v>6</v>
      </c>
      <c r="C87" s="27" t="s">
        <v>339</v>
      </c>
      <c r="D87" s="6">
        <v>7008424381</v>
      </c>
      <c r="E87" s="4" t="s">
        <v>340</v>
      </c>
      <c r="F87" s="27">
        <v>768020</v>
      </c>
      <c r="G87" s="28" t="s">
        <v>341</v>
      </c>
      <c r="H87" s="28" t="s">
        <v>209</v>
      </c>
      <c r="I87" s="7">
        <v>1</v>
      </c>
      <c r="J87" s="7">
        <v>1.5</v>
      </c>
      <c r="K87" s="7"/>
      <c r="L87" s="23"/>
      <c r="M87" s="7">
        <v>1000</v>
      </c>
      <c r="N87" s="7">
        <f t="shared" si="10"/>
        <v>77</v>
      </c>
      <c r="O87" s="6" t="s">
        <v>326</v>
      </c>
    </row>
    <row r="88" spans="1:15" ht="120" x14ac:dyDescent="0.25">
      <c r="A88" s="5"/>
      <c r="B88" s="7">
        <v>7</v>
      </c>
      <c r="C88" s="7" t="s">
        <v>342</v>
      </c>
      <c r="D88" s="7">
        <v>8249095270</v>
      </c>
      <c r="E88" s="4" t="s">
        <v>343</v>
      </c>
      <c r="F88" s="7">
        <v>201307</v>
      </c>
      <c r="G88" s="7" t="s">
        <v>344</v>
      </c>
      <c r="H88" s="7" t="s">
        <v>345</v>
      </c>
      <c r="I88" s="7">
        <v>1</v>
      </c>
      <c r="J88" s="7">
        <v>1.5</v>
      </c>
      <c r="K88" s="7"/>
      <c r="L88" s="7"/>
      <c r="M88" s="7">
        <v>1000</v>
      </c>
      <c r="N88" s="7">
        <f t="shared" si="10"/>
        <v>77</v>
      </c>
      <c r="O88" s="6" t="s">
        <v>326</v>
      </c>
    </row>
    <row r="89" spans="1:15" ht="60" x14ac:dyDescent="0.25">
      <c r="A89" s="5"/>
      <c r="B89" s="7">
        <v>8</v>
      </c>
      <c r="C89" s="7" t="s">
        <v>346</v>
      </c>
      <c r="D89" s="7">
        <v>9658281985</v>
      </c>
      <c r="E89" s="4" t="s">
        <v>347</v>
      </c>
      <c r="F89" s="7">
        <v>400076</v>
      </c>
      <c r="G89" s="7" t="s">
        <v>31</v>
      </c>
      <c r="H89" s="7" t="s">
        <v>32</v>
      </c>
      <c r="I89" s="7">
        <v>1</v>
      </c>
      <c r="J89" s="7">
        <v>1.5</v>
      </c>
      <c r="K89" s="7"/>
      <c r="L89" s="7"/>
      <c r="M89" s="7">
        <v>1000</v>
      </c>
      <c r="N89" s="7">
        <f t="shared" si="10"/>
        <v>77</v>
      </c>
      <c r="O89" s="6" t="s">
        <v>326</v>
      </c>
    </row>
    <row r="90" spans="1:15" ht="75" x14ac:dyDescent="0.25">
      <c r="A90" s="5"/>
      <c r="B90" s="7">
        <v>9</v>
      </c>
      <c r="C90" s="7" t="s">
        <v>348</v>
      </c>
      <c r="D90" s="7">
        <v>8087151663</v>
      </c>
      <c r="E90" s="4" t="s">
        <v>349</v>
      </c>
      <c r="F90" s="7">
        <v>828116</v>
      </c>
      <c r="G90" s="7" t="s">
        <v>350</v>
      </c>
      <c r="H90" s="7" t="s">
        <v>351</v>
      </c>
      <c r="I90" s="7">
        <v>1</v>
      </c>
      <c r="J90" s="7">
        <v>1.5</v>
      </c>
      <c r="K90" s="7"/>
      <c r="L90" s="7"/>
      <c r="M90" s="7">
        <v>1000</v>
      </c>
      <c r="N90" s="7">
        <f t="shared" si="10"/>
        <v>77</v>
      </c>
      <c r="O90" s="6" t="s">
        <v>326</v>
      </c>
    </row>
    <row r="91" spans="1:15" ht="75" x14ac:dyDescent="0.25">
      <c r="A91" s="5"/>
      <c r="B91" s="7">
        <v>10</v>
      </c>
      <c r="C91" s="7" t="s">
        <v>352</v>
      </c>
      <c r="D91" s="7">
        <v>9178086083</v>
      </c>
      <c r="E91" s="4" t="s">
        <v>353</v>
      </c>
      <c r="F91" s="7" t="s">
        <v>354</v>
      </c>
      <c r="G91" s="7" t="s">
        <v>67</v>
      </c>
      <c r="H91" s="7" t="s">
        <v>50</v>
      </c>
      <c r="I91" s="7">
        <v>1</v>
      </c>
      <c r="J91" s="7">
        <v>1.5</v>
      </c>
      <c r="K91" s="7"/>
      <c r="L91" s="7"/>
      <c r="M91" s="7">
        <v>1000</v>
      </c>
      <c r="N91" s="7">
        <f t="shared" si="10"/>
        <v>77</v>
      </c>
      <c r="O91" s="6" t="s">
        <v>326</v>
      </c>
    </row>
    <row r="92" spans="1:15" ht="30" x14ac:dyDescent="0.25">
      <c r="A92" s="5"/>
      <c r="B92" s="7">
        <v>11</v>
      </c>
      <c r="C92" s="7" t="s">
        <v>355</v>
      </c>
      <c r="D92" s="7">
        <v>9575739691</v>
      </c>
      <c r="E92" s="4" t="s">
        <v>356</v>
      </c>
      <c r="F92" s="7">
        <v>452010</v>
      </c>
      <c r="G92" s="7" t="s">
        <v>299</v>
      </c>
      <c r="H92" s="7" t="s">
        <v>38</v>
      </c>
      <c r="I92" s="7">
        <v>1</v>
      </c>
      <c r="J92" s="7">
        <v>1.5</v>
      </c>
      <c r="K92" s="7"/>
      <c r="L92" s="7"/>
      <c r="M92" s="7">
        <v>1000</v>
      </c>
      <c r="N92" s="7">
        <f t="shared" si="10"/>
        <v>77</v>
      </c>
      <c r="O92" s="6" t="s">
        <v>326</v>
      </c>
    </row>
    <row r="93" spans="1:15" ht="120" x14ac:dyDescent="0.25">
      <c r="A93" s="5"/>
      <c r="B93" s="7">
        <v>12</v>
      </c>
      <c r="C93" s="7" t="s">
        <v>357</v>
      </c>
      <c r="D93" s="7">
        <v>9563563444</v>
      </c>
      <c r="E93" s="4" t="s">
        <v>358</v>
      </c>
      <c r="F93" s="7">
        <v>533247</v>
      </c>
      <c r="G93" s="7" t="s">
        <v>359</v>
      </c>
      <c r="H93" s="7" t="s">
        <v>75</v>
      </c>
      <c r="I93" s="7">
        <v>1</v>
      </c>
      <c r="J93" s="7">
        <v>1.5</v>
      </c>
      <c r="K93" s="7"/>
      <c r="L93" s="7"/>
      <c r="M93" s="7">
        <v>1000</v>
      </c>
      <c r="N93" s="7">
        <f t="shared" si="10"/>
        <v>77</v>
      </c>
      <c r="O93" s="6" t="s">
        <v>326</v>
      </c>
    </row>
    <row r="94" spans="1:15" ht="90" x14ac:dyDescent="0.25">
      <c r="A94" s="5"/>
      <c r="B94" s="7">
        <v>13</v>
      </c>
      <c r="C94" s="7" t="s">
        <v>360</v>
      </c>
      <c r="D94" s="7">
        <v>6303158858</v>
      </c>
      <c r="E94" s="4" t="s">
        <v>361</v>
      </c>
      <c r="F94" s="7">
        <v>500081</v>
      </c>
      <c r="G94" s="7" t="s">
        <v>67</v>
      </c>
      <c r="H94" s="7" t="s">
        <v>50</v>
      </c>
      <c r="I94" s="7">
        <v>1</v>
      </c>
      <c r="J94" s="7">
        <v>1.5</v>
      </c>
      <c r="K94" s="7"/>
      <c r="L94" s="7"/>
      <c r="M94" s="7">
        <v>1000</v>
      </c>
      <c r="N94" s="7">
        <f t="shared" si="10"/>
        <v>77</v>
      </c>
      <c r="O94" s="6" t="s">
        <v>326</v>
      </c>
    </row>
    <row r="95" spans="1:15" ht="75" x14ac:dyDescent="0.25">
      <c r="A95" s="5"/>
      <c r="B95" s="7">
        <v>14</v>
      </c>
      <c r="C95" s="7" t="s">
        <v>362</v>
      </c>
      <c r="D95" s="7">
        <v>9168302139</v>
      </c>
      <c r="E95" s="4" t="s">
        <v>363</v>
      </c>
      <c r="F95" s="7">
        <v>122003</v>
      </c>
      <c r="G95" s="7" t="s">
        <v>364</v>
      </c>
      <c r="H95" s="7" t="s">
        <v>365</v>
      </c>
      <c r="I95" s="7">
        <v>1</v>
      </c>
      <c r="J95" s="7">
        <v>1.5</v>
      </c>
      <c r="K95" s="7"/>
      <c r="L95" s="7"/>
      <c r="M95" s="7">
        <v>1000</v>
      </c>
      <c r="N95" s="7">
        <f t="shared" si="10"/>
        <v>77</v>
      </c>
      <c r="O95" s="6" t="s">
        <v>326</v>
      </c>
    </row>
    <row r="96" spans="1:15" ht="90" x14ac:dyDescent="0.25">
      <c r="A96" s="5"/>
      <c r="B96" s="7">
        <v>15</v>
      </c>
      <c r="C96" s="7" t="s">
        <v>366</v>
      </c>
      <c r="D96" s="7">
        <v>8123289632</v>
      </c>
      <c r="E96" s="4" t="s">
        <v>367</v>
      </c>
      <c r="F96" s="7">
        <v>587301</v>
      </c>
      <c r="G96" s="7" t="s">
        <v>368</v>
      </c>
      <c r="H96" s="7" t="s">
        <v>44</v>
      </c>
      <c r="I96" s="7">
        <v>1</v>
      </c>
      <c r="J96" s="7">
        <v>1</v>
      </c>
      <c r="K96" s="7"/>
      <c r="L96" s="7"/>
      <c r="M96" s="7">
        <v>240</v>
      </c>
      <c r="N96" s="7">
        <f t="shared" si="10"/>
        <v>50</v>
      </c>
      <c r="O96" s="7" t="s">
        <v>369</v>
      </c>
    </row>
    <row r="97" spans="1:15" ht="75" x14ac:dyDescent="0.25">
      <c r="A97" s="5"/>
      <c r="B97" s="7">
        <v>16</v>
      </c>
      <c r="C97" s="7" t="s">
        <v>370</v>
      </c>
      <c r="D97" s="7">
        <v>8249746100</v>
      </c>
      <c r="E97" s="4" t="s">
        <v>371</v>
      </c>
      <c r="F97" s="7">
        <v>759123</v>
      </c>
      <c r="G97" s="7" t="s">
        <v>372</v>
      </c>
      <c r="H97" s="7" t="s">
        <v>209</v>
      </c>
      <c r="I97" s="7">
        <v>1</v>
      </c>
      <c r="J97" s="7">
        <v>21</v>
      </c>
      <c r="K97" s="7"/>
      <c r="L97" s="7"/>
      <c r="M97" s="7">
        <v>7100</v>
      </c>
      <c r="N97" s="7">
        <v>441</v>
      </c>
      <c r="O97" s="7" t="s">
        <v>373</v>
      </c>
    </row>
    <row r="98" spans="1:15" ht="105" x14ac:dyDescent="0.25">
      <c r="A98" s="5"/>
      <c r="B98" s="16">
        <v>17</v>
      </c>
      <c r="C98" s="16" t="s">
        <v>374</v>
      </c>
      <c r="D98" s="16">
        <v>8917429838</v>
      </c>
      <c r="E98" s="13" t="s">
        <v>375</v>
      </c>
      <c r="F98" s="16">
        <v>758021</v>
      </c>
      <c r="G98" s="16" t="s">
        <v>376</v>
      </c>
      <c r="H98" s="16" t="s">
        <v>209</v>
      </c>
      <c r="I98" s="16">
        <v>1</v>
      </c>
      <c r="J98" s="16">
        <v>21</v>
      </c>
      <c r="K98" s="17" t="s">
        <v>100</v>
      </c>
      <c r="L98" s="31"/>
      <c r="M98" s="16">
        <v>7100</v>
      </c>
      <c r="N98" s="16">
        <v>741</v>
      </c>
      <c r="O98" s="16" t="s">
        <v>373</v>
      </c>
    </row>
    <row r="99" spans="1:15" s="36" customFormat="1" ht="75" x14ac:dyDescent="0.25">
      <c r="A99" s="32"/>
      <c r="B99" s="33">
        <v>18</v>
      </c>
      <c r="C99" s="33" t="s">
        <v>377</v>
      </c>
      <c r="D99" s="33">
        <v>9476592689</v>
      </c>
      <c r="E99" s="34" t="s">
        <v>378</v>
      </c>
      <c r="F99" s="33">
        <v>788736</v>
      </c>
      <c r="G99" s="33" t="s">
        <v>379</v>
      </c>
      <c r="H99" s="33" t="s">
        <v>380</v>
      </c>
      <c r="I99" s="33">
        <v>1</v>
      </c>
      <c r="J99" s="33">
        <v>10</v>
      </c>
      <c r="K99" s="33"/>
      <c r="L99" s="35" t="s">
        <v>545</v>
      </c>
      <c r="M99" s="33">
        <v>2800</v>
      </c>
      <c r="N99" s="33">
        <v>282</v>
      </c>
      <c r="O99" s="33" t="s">
        <v>20</v>
      </c>
    </row>
    <row r="100" spans="1:15" ht="150" x14ac:dyDescent="0.25">
      <c r="A100" s="5"/>
      <c r="B100" s="7">
        <v>19</v>
      </c>
      <c r="C100" s="7" t="s">
        <v>381</v>
      </c>
      <c r="D100" s="7" t="s">
        <v>382</v>
      </c>
      <c r="E100" s="4" t="s">
        <v>383</v>
      </c>
      <c r="F100" s="7">
        <v>570023</v>
      </c>
      <c r="G100" s="7" t="s">
        <v>384</v>
      </c>
      <c r="H100" s="7" t="s">
        <v>44</v>
      </c>
      <c r="I100" s="7">
        <v>1</v>
      </c>
      <c r="J100" s="7">
        <v>20</v>
      </c>
      <c r="K100" s="7"/>
      <c r="L100" s="7"/>
      <c r="M100" s="7">
        <v>7500</v>
      </c>
      <c r="N100" s="7">
        <f t="shared" si="10"/>
        <v>420</v>
      </c>
      <c r="O100" s="7" t="s">
        <v>385</v>
      </c>
    </row>
    <row r="101" spans="1:15" ht="135" x14ac:dyDescent="0.25">
      <c r="A101" s="5"/>
      <c r="B101" s="7">
        <v>20</v>
      </c>
      <c r="C101" s="7" t="s">
        <v>386</v>
      </c>
      <c r="D101" s="7" t="s">
        <v>387</v>
      </c>
      <c r="E101" s="4" t="s">
        <v>388</v>
      </c>
      <c r="F101" s="7">
        <v>507002</v>
      </c>
      <c r="G101" s="7" t="s">
        <v>389</v>
      </c>
      <c r="H101" s="7" t="s">
        <v>50</v>
      </c>
      <c r="I101" s="7">
        <v>1</v>
      </c>
      <c r="J101" s="7">
        <v>20</v>
      </c>
      <c r="K101" s="7"/>
      <c r="L101" s="7"/>
      <c r="M101" s="7">
        <v>6100</v>
      </c>
      <c r="N101" s="7">
        <f t="shared" si="10"/>
        <v>420</v>
      </c>
      <c r="O101" s="7" t="s">
        <v>39</v>
      </c>
    </row>
    <row r="102" spans="1:15" ht="75" x14ac:dyDescent="0.25">
      <c r="A102" s="5"/>
      <c r="B102" s="16">
        <v>21</v>
      </c>
      <c r="C102" s="16" t="s">
        <v>232</v>
      </c>
      <c r="D102" s="16" t="s">
        <v>233</v>
      </c>
      <c r="E102" s="13" t="s">
        <v>390</v>
      </c>
      <c r="F102" s="16">
        <v>517501</v>
      </c>
      <c r="G102" s="16" t="s">
        <v>235</v>
      </c>
      <c r="H102" s="16" t="s">
        <v>75</v>
      </c>
      <c r="I102" s="16">
        <v>3</v>
      </c>
      <c r="J102" s="16">
        <v>52</v>
      </c>
      <c r="K102" s="17" t="s">
        <v>100</v>
      </c>
      <c r="L102" s="31"/>
      <c r="M102" s="16">
        <v>18300</v>
      </c>
      <c r="N102" s="16">
        <v>1392</v>
      </c>
      <c r="O102" s="16" t="s">
        <v>39</v>
      </c>
    </row>
    <row r="103" spans="1:15" ht="75" x14ac:dyDescent="0.25">
      <c r="A103" s="5"/>
      <c r="B103" s="7">
        <v>22</v>
      </c>
      <c r="C103" s="7" t="s">
        <v>391</v>
      </c>
      <c r="D103" s="7">
        <v>7972126847</v>
      </c>
      <c r="E103" s="4" t="s">
        <v>392</v>
      </c>
      <c r="F103" s="7">
        <v>431513</v>
      </c>
      <c r="G103" s="7" t="s">
        <v>393</v>
      </c>
      <c r="H103" s="7" t="s">
        <v>32</v>
      </c>
      <c r="I103" s="7">
        <v>1</v>
      </c>
      <c r="J103" s="7">
        <v>20</v>
      </c>
      <c r="K103" s="7"/>
      <c r="L103" s="7"/>
      <c r="M103" s="7">
        <v>6900</v>
      </c>
      <c r="N103" s="7">
        <f t="shared" si="10"/>
        <v>420</v>
      </c>
      <c r="O103" s="7" t="s">
        <v>39</v>
      </c>
    </row>
    <row r="104" spans="1:15" ht="75" x14ac:dyDescent="0.25">
      <c r="A104" s="5"/>
      <c r="B104" s="16">
        <v>23</v>
      </c>
      <c r="C104" s="16" t="s">
        <v>394</v>
      </c>
      <c r="D104" s="16">
        <v>8218416103</v>
      </c>
      <c r="E104" s="13" t="s">
        <v>395</v>
      </c>
      <c r="F104" s="16">
        <v>246149</v>
      </c>
      <c r="G104" s="16" t="s">
        <v>396</v>
      </c>
      <c r="H104" s="16" t="s">
        <v>397</v>
      </c>
      <c r="I104" s="16">
        <v>1</v>
      </c>
      <c r="J104" s="16">
        <v>20</v>
      </c>
      <c r="K104" s="17" t="s">
        <v>100</v>
      </c>
      <c r="L104" s="31"/>
      <c r="M104" s="16">
        <v>6900</v>
      </c>
      <c r="N104" s="16">
        <v>720</v>
      </c>
      <c r="O104" s="16" t="s">
        <v>398</v>
      </c>
    </row>
    <row r="105" spans="1:15" ht="105" x14ac:dyDescent="0.25">
      <c r="A105" s="5"/>
      <c r="B105" s="7">
        <v>24</v>
      </c>
      <c r="C105" s="7" t="s">
        <v>399</v>
      </c>
      <c r="D105" s="7">
        <v>8984814458</v>
      </c>
      <c r="E105" s="4" t="s">
        <v>400</v>
      </c>
      <c r="F105" s="7">
        <v>751019</v>
      </c>
      <c r="G105" s="7" t="s">
        <v>401</v>
      </c>
      <c r="H105" s="7" t="s">
        <v>402</v>
      </c>
      <c r="I105" s="7">
        <v>1</v>
      </c>
      <c r="J105" s="7">
        <v>21</v>
      </c>
      <c r="K105" s="7"/>
      <c r="L105" s="7"/>
      <c r="M105" s="7">
        <v>7100</v>
      </c>
      <c r="N105" s="7">
        <v>441</v>
      </c>
      <c r="O105" s="7" t="s">
        <v>373</v>
      </c>
    </row>
    <row r="106" spans="1:15" ht="90" x14ac:dyDescent="0.25">
      <c r="A106" s="5"/>
      <c r="B106" s="7">
        <v>25</v>
      </c>
      <c r="C106" s="7" t="s">
        <v>403</v>
      </c>
      <c r="D106" s="7">
        <v>7416434969</v>
      </c>
      <c r="E106" s="4" t="s">
        <v>404</v>
      </c>
      <c r="F106" s="7">
        <v>530041</v>
      </c>
      <c r="G106" s="7" t="s">
        <v>405</v>
      </c>
      <c r="H106" s="7" t="s">
        <v>75</v>
      </c>
      <c r="I106" s="7">
        <v>1</v>
      </c>
      <c r="J106" s="7">
        <v>1</v>
      </c>
      <c r="K106" s="7"/>
      <c r="L106" s="7"/>
      <c r="M106" s="7">
        <v>100</v>
      </c>
      <c r="N106" s="7">
        <f t="shared" si="10"/>
        <v>50</v>
      </c>
      <c r="O106" s="7" t="s">
        <v>139</v>
      </c>
    </row>
    <row r="107" spans="1:15" ht="75" x14ac:dyDescent="0.25">
      <c r="A107" s="5"/>
      <c r="B107" s="7">
        <v>26</v>
      </c>
      <c r="C107" s="7" t="s">
        <v>406</v>
      </c>
      <c r="D107" s="7">
        <v>7762014217</v>
      </c>
      <c r="E107" s="4" t="s">
        <v>407</v>
      </c>
      <c r="F107" s="7">
        <v>769014</v>
      </c>
      <c r="G107" s="7" t="s">
        <v>408</v>
      </c>
      <c r="H107" s="7" t="s">
        <v>409</v>
      </c>
      <c r="I107" s="7">
        <v>1</v>
      </c>
      <c r="J107" s="7">
        <v>2</v>
      </c>
      <c r="K107" s="7"/>
      <c r="L107" s="7"/>
      <c r="M107" s="7">
        <v>420</v>
      </c>
      <c r="N107" s="7">
        <f t="shared" si="10"/>
        <v>92</v>
      </c>
      <c r="O107" s="7" t="s">
        <v>139</v>
      </c>
    </row>
    <row r="108" spans="1:15" ht="105" x14ac:dyDescent="0.25">
      <c r="A108" s="5" t="s">
        <v>410</v>
      </c>
      <c r="B108" s="7">
        <v>1</v>
      </c>
      <c r="C108" s="27" t="s">
        <v>411</v>
      </c>
      <c r="D108" s="6" t="s">
        <v>412</v>
      </c>
      <c r="E108" s="4" t="s">
        <v>413</v>
      </c>
      <c r="F108" s="27">
        <v>639002</v>
      </c>
      <c r="G108" s="28" t="s">
        <v>414</v>
      </c>
      <c r="H108" s="28" t="s">
        <v>83</v>
      </c>
      <c r="I108" s="7">
        <v>1</v>
      </c>
      <c r="J108" s="7">
        <v>20</v>
      </c>
      <c r="K108" s="7"/>
      <c r="L108" s="23"/>
      <c r="M108" s="7">
        <v>7000</v>
      </c>
      <c r="N108" s="8">
        <f>IF(J108&lt;=0.5, 45,
   IF(J108&lt;=1, 50,
   IF(J108&lt;=1.5, 77,
   IF(J108&lt;=2, 92,
   IF(J108&lt;=10, 282, 420)))))</f>
        <v>420</v>
      </c>
      <c r="O108" s="6" t="s">
        <v>415</v>
      </c>
    </row>
    <row r="109" spans="1:15" ht="60" x14ac:dyDescent="0.25">
      <c r="A109" s="5"/>
      <c r="B109" s="7">
        <v>2</v>
      </c>
      <c r="C109" s="27" t="s">
        <v>416</v>
      </c>
      <c r="D109" s="6">
        <v>8860453706</v>
      </c>
      <c r="E109" s="4" t="s">
        <v>417</v>
      </c>
      <c r="F109" s="27">
        <v>284001</v>
      </c>
      <c r="G109" s="28" t="s">
        <v>418</v>
      </c>
      <c r="H109" s="28" t="s">
        <v>345</v>
      </c>
      <c r="I109" s="7">
        <v>2</v>
      </c>
      <c r="J109" s="7">
        <v>22</v>
      </c>
      <c r="K109" s="7"/>
      <c r="L109" s="7"/>
      <c r="M109" s="7">
        <v>8400</v>
      </c>
      <c r="N109" s="8">
        <v>462</v>
      </c>
      <c r="O109" s="6" t="s">
        <v>373</v>
      </c>
    </row>
    <row r="110" spans="1:15" ht="60" x14ac:dyDescent="0.25">
      <c r="A110" s="5"/>
      <c r="B110" s="16">
        <v>3</v>
      </c>
      <c r="C110" s="25" t="s">
        <v>419</v>
      </c>
      <c r="D110" s="12">
        <v>9348017343</v>
      </c>
      <c r="E110" s="13" t="s">
        <v>420</v>
      </c>
      <c r="F110" s="25">
        <v>752050</v>
      </c>
      <c r="G110" s="26" t="s">
        <v>421</v>
      </c>
      <c r="H110" s="26" t="s">
        <v>209</v>
      </c>
      <c r="I110" s="16">
        <v>1</v>
      </c>
      <c r="J110" s="16">
        <v>21</v>
      </c>
      <c r="K110" s="17" t="s">
        <v>100</v>
      </c>
      <c r="L110" s="31"/>
      <c r="M110" s="16">
        <v>7100</v>
      </c>
      <c r="N110" s="15">
        <v>741</v>
      </c>
      <c r="O110" s="12" t="s">
        <v>373</v>
      </c>
    </row>
    <row r="111" spans="1:15" ht="150" x14ac:dyDescent="0.25">
      <c r="A111" s="5"/>
      <c r="B111" s="16">
        <v>4</v>
      </c>
      <c r="C111" s="25" t="s">
        <v>422</v>
      </c>
      <c r="D111" s="12" t="s">
        <v>423</v>
      </c>
      <c r="E111" s="13" t="s">
        <v>424</v>
      </c>
      <c r="F111" s="25">
        <v>721148</v>
      </c>
      <c r="G111" s="26" t="s">
        <v>425</v>
      </c>
      <c r="H111" s="26" t="s">
        <v>426</v>
      </c>
      <c r="I111" s="16">
        <v>1</v>
      </c>
      <c r="J111" s="16">
        <v>21</v>
      </c>
      <c r="K111" s="17" t="s">
        <v>100</v>
      </c>
      <c r="L111" s="31"/>
      <c r="M111" s="16">
        <v>6900</v>
      </c>
      <c r="N111" s="15">
        <v>741</v>
      </c>
      <c r="O111" s="12" t="s">
        <v>164</v>
      </c>
    </row>
    <row r="112" spans="1:15" ht="105" x14ac:dyDescent="0.25">
      <c r="A112" s="5"/>
      <c r="B112" s="7">
        <v>5</v>
      </c>
      <c r="C112" s="27" t="s">
        <v>427</v>
      </c>
      <c r="D112" s="6" t="s">
        <v>428</v>
      </c>
      <c r="E112" s="4" t="s">
        <v>429</v>
      </c>
      <c r="F112" s="27">
        <v>641008</v>
      </c>
      <c r="G112" s="28" t="s">
        <v>430</v>
      </c>
      <c r="H112" s="28" t="s">
        <v>83</v>
      </c>
      <c r="I112" s="7">
        <v>1</v>
      </c>
      <c r="J112" s="7">
        <v>20</v>
      </c>
      <c r="K112" s="7"/>
      <c r="L112" s="7"/>
      <c r="M112" s="7">
        <v>7000</v>
      </c>
      <c r="N112" s="8">
        <f t="shared" ref="N112" si="11">IF(J112&lt;=0.5, 45,
   IF(J112&lt;=1, 50,
   IF(J112&lt;=1.5, 77,
   IF(J112&lt;=2, 92,
   IF(J112&lt;=10, 282, 420)))))</f>
        <v>420</v>
      </c>
      <c r="O112" s="6" t="s">
        <v>39</v>
      </c>
    </row>
    <row r="113" spans="1:15" ht="90" x14ac:dyDescent="0.25">
      <c r="A113" s="5"/>
      <c r="B113" s="7">
        <v>6</v>
      </c>
      <c r="C113" s="27" t="s">
        <v>431</v>
      </c>
      <c r="D113" s="6">
        <v>9872255667</v>
      </c>
      <c r="E113" s="4" t="s">
        <v>432</v>
      </c>
      <c r="F113" s="27">
        <v>140603</v>
      </c>
      <c r="G113" s="28" t="s">
        <v>433</v>
      </c>
      <c r="H113" s="28" t="s">
        <v>107</v>
      </c>
      <c r="I113" s="7">
        <v>1</v>
      </c>
      <c r="J113" s="7">
        <v>21</v>
      </c>
      <c r="K113" s="7"/>
      <c r="L113" s="7"/>
      <c r="M113" s="7">
        <v>8000</v>
      </c>
      <c r="N113" s="8">
        <v>441</v>
      </c>
      <c r="O113" s="6" t="s">
        <v>139</v>
      </c>
    </row>
    <row r="114" spans="1:15" ht="120" x14ac:dyDescent="0.25">
      <c r="A114" s="5" t="s">
        <v>434</v>
      </c>
      <c r="B114" s="7">
        <v>1</v>
      </c>
      <c r="C114" s="27" t="s">
        <v>435</v>
      </c>
      <c r="D114" s="6">
        <v>9535056378</v>
      </c>
      <c r="E114" s="4" t="s">
        <v>436</v>
      </c>
      <c r="F114" s="27">
        <v>581402</v>
      </c>
      <c r="G114" s="28" t="s">
        <v>437</v>
      </c>
      <c r="H114" s="28" t="s">
        <v>44</v>
      </c>
      <c r="I114" s="7">
        <v>1</v>
      </c>
      <c r="J114" s="7">
        <v>20</v>
      </c>
      <c r="K114" s="7"/>
      <c r="L114" s="23"/>
      <c r="M114" s="7">
        <v>7500</v>
      </c>
      <c r="N114" s="8">
        <f>IF(J114&lt;=0.5, 45,
   IF(J114&lt;=1, 50,
   IF(J114&lt;=1.5, 77,
   IF(J114&lt;=2, 92,
   IF(J114&lt;=10, 282, 420)))))</f>
        <v>420</v>
      </c>
      <c r="O114" s="6" t="s">
        <v>373</v>
      </c>
    </row>
    <row r="115" spans="1:15" ht="75" x14ac:dyDescent="0.25">
      <c r="A115" s="5"/>
      <c r="B115" s="16">
        <v>2</v>
      </c>
      <c r="C115" s="25" t="s">
        <v>438</v>
      </c>
      <c r="D115" s="12">
        <v>9439777256</v>
      </c>
      <c r="E115" s="13" t="s">
        <v>439</v>
      </c>
      <c r="F115" s="25">
        <v>754225</v>
      </c>
      <c r="G115" s="26" t="s">
        <v>440</v>
      </c>
      <c r="H115" s="26" t="s">
        <v>209</v>
      </c>
      <c r="I115" s="16">
        <v>2</v>
      </c>
      <c r="J115" s="16">
        <v>29</v>
      </c>
      <c r="K115" s="17" t="s">
        <v>100</v>
      </c>
      <c r="L115" s="31"/>
      <c r="M115" s="16">
        <v>9100</v>
      </c>
      <c r="N115" s="15">
        <v>909</v>
      </c>
      <c r="O115" s="12" t="s">
        <v>373</v>
      </c>
    </row>
    <row r="116" spans="1:15" ht="120" x14ac:dyDescent="0.25">
      <c r="A116" s="5"/>
      <c r="B116" s="16">
        <v>3</v>
      </c>
      <c r="C116" s="25" t="s">
        <v>441</v>
      </c>
      <c r="D116" s="12">
        <v>9866408272</v>
      </c>
      <c r="E116" s="13" t="s">
        <v>442</v>
      </c>
      <c r="F116" s="25">
        <v>516115</v>
      </c>
      <c r="G116" s="26" t="s">
        <v>443</v>
      </c>
      <c r="H116" s="26" t="s">
        <v>75</v>
      </c>
      <c r="I116" s="16">
        <v>1</v>
      </c>
      <c r="J116" s="16">
        <v>20</v>
      </c>
      <c r="K116" s="17" t="s">
        <v>100</v>
      </c>
      <c r="L116" s="31"/>
      <c r="M116" s="16">
        <v>6100</v>
      </c>
      <c r="N116" s="15">
        <v>720</v>
      </c>
      <c r="O116" s="12" t="s">
        <v>164</v>
      </c>
    </row>
    <row r="117" spans="1:15" ht="135" x14ac:dyDescent="0.25">
      <c r="A117" s="5"/>
      <c r="B117" s="16">
        <v>4</v>
      </c>
      <c r="C117" s="25" t="s">
        <v>444</v>
      </c>
      <c r="D117" s="12" t="s">
        <v>445</v>
      </c>
      <c r="E117" s="13" t="s">
        <v>446</v>
      </c>
      <c r="F117" s="25">
        <v>721201</v>
      </c>
      <c r="G117" s="26" t="s">
        <v>447</v>
      </c>
      <c r="H117" s="26" t="s">
        <v>153</v>
      </c>
      <c r="I117" s="16">
        <v>1</v>
      </c>
      <c r="J117" s="16">
        <v>21</v>
      </c>
      <c r="K117" s="17" t="s">
        <v>100</v>
      </c>
      <c r="L117" s="31"/>
      <c r="M117" s="16">
        <v>6900</v>
      </c>
      <c r="N117" s="15">
        <v>741</v>
      </c>
      <c r="O117" s="12" t="s">
        <v>164</v>
      </c>
    </row>
    <row r="118" spans="1:15" ht="105" x14ac:dyDescent="0.25">
      <c r="A118" s="5"/>
      <c r="B118" s="7">
        <v>5</v>
      </c>
      <c r="C118" s="27" t="s">
        <v>448</v>
      </c>
      <c r="D118" s="6">
        <v>9938604227</v>
      </c>
      <c r="E118" s="4" t="s">
        <v>449</v>
      </c>
      <c r="F118" s="27">
        <v>760002</v>
      </c>
      <c r="G118" s="28" t="s">
        <v>450</v>
      </c>
      <c r="H118" s="28" t="s">
        <v>209</v>
      </c>
      <c r="I118" s="7">
        <v>1</v>
      </c>
      <c r="J118" s="7">
        <v>25</v>
      </c>
      <c r="K118" s="7"/>
      <c r="L118" s="7"/>
      <c r="M118" s="7">
        <v>8500</v>
      </c>
      <c r="N118" s="8">
        <v>525</v>
      </c>
      <c r="O118" s="6" t="s">
        <v>451</v>
      </c>
    </row>
    <row r="119" spans="1:15" ht="75" x14ac:dyDescent="0.25">
      <c r="A119" s="5" t="s">
        <v>452</v>
      </c>
      <c r="B119" s="7">
        <v>1</v>
      </c>
      <c r="C119" s="27" t="s">
        <v>453</v>
      </c>
      <c r="D119" s="6" t="s">
        <v>454</v>
      </c>
      <c r="E119" s="4" t="s">
        <v>455</v>
      </c>
      <c r="F119" s="27">
        <v>500005</v>
      </c>
      <c r="G119" s="28" t="s">
        <v>67</v>
      </c>
      <c r="H119" s="28" t="s">
        <v>50</v>
      </c>
      <c r="I119" s="7">
        <v>1</v>
      </c>
      <c r="J119" s="7">
        <v>20</v>
      </c>
      <c r="K119" s="7"/>
      <c r="L119" s="23"/>
      <c r="M119" s="7">
        <v>6100</v>
      </c>
      <c r="N119" s="8">
        <f t="shared" ref="N119:N143" si="12">IF(J119&lt;=0.5, 45,
   IF(J119&lt;=1, 50,
   IF(J119&lt;=1.5, 77,
   IF(J119&lt;=2, 92,
   IF(J119&lt;=10, 282, 420)))))</f>
        <v>420</v>
      </c>
      <c r="O119" s="6" t="s">
        <v>39</v>
      </c>
    </row>
    <row r="120" spans="1:15" ht="120" x14ac:dyDescent="0.25">
      <c r="A120" s="5"/>
      <c r="B120" s="16">
        <v>2</v>
      </c>
      <c r="C120" s="25" t="s">
        <v>202</v>
      </c>
      <c r="D120" s="12">
        <v>9635922963</v>
      </c>
      <c r="E120" s="13" t="s">
        <v>203</v>
      </c>
      <c r="F120" s="25">
        <v>721145</v>
      </c>
      <c r="G120" s="26" t="s">
        <v>456</v>
      </c>
      <c r="H120" s="26" t="s">
        <v>26</v>
      </c>
      <c r="I120" s="16">
        <v>1</v>
      </c>
      <c r="J120" s="16">
        <v>21</v>
      </c>
      <c r="K120" s="17" t="s">
        <v>100</v>
      </c>
      <c r="L120" s="31"/>
      <c r="M120" s="16">
        <v>6900</v>
      </c>
      <c r="N120" s="15">
        <v>741</v>
      </c>
      <c r="O120" s="12" t="s">
        <v>39</v>
      </c>
    </row>
    <row r="121" spans="1:15" ht="75" x14ac:dyDescent="0.25">
      <c r="A121" s="5"/>
      <c r="B121" s="16">
        <v>3</v>
      </c>
      <c r="C121" s="25" t="s">
        <v>457</v>
      </c>
      <c r="D121" s="12">
        <v>9852164856</v>
      </c>
      <c r="E121" s="13" t="s">
        <v>458</v>
      </c>
      <c r="F121" s="25">
        <v>841428</v>
      </c>
      <c r="G121" s="26" t="s">
        <v>459</v>
      </c>
      <c r="H121" s="26" t="s">
        <v>91</v>
      </c>
      <c r="I121" s="16">
        <v>1</v>
      </c>
      <c r="J121" s="16">
        <v>20</v>
      </c>
      <c r="K121" s="17" t="s">
        <v>100</v>
      </c>
      <c r="L121" s="31"/>
      <c r="M121" s="16">
        <v>8500</v>
      </c>
      <c r="N121" s="15">
        <v>720</v>
      </c>
      <c r="O121" s="12" t="s">
        <v>139</v>
      </c>
    </row>
    <row r="122" spans="1:15" ht="90" x14ac:dyDescent="0.25">
      <c r="A122" s="5"/>
      <c r="B122" s="7">
        <v>4</v>
      </c>
      <c r="C122" s="27" t="s">
        <v>460</v>
      </c>
      <c r="D122" s="6">
        <v>9561891307</v>
      </c>
      <c r="E122" s="4" t="s">
        <v>461</v>
      </c>
      <c r="F122" s="27">
        <v>416012</v>
      </c>
      <c r="G122" s="28" t="s">
        <v>462</v>
      </c>
      <c r="H122" s="28" t="s">
        <v>32</v>
      </c>
      <c r="I122" s="7">
        <v>1</v>
      </c>
      <c r="J122" s="7">
        <v>20</v>
      </c>
      <c r="K122" s="7"/>
      <c r="L122" s="23"/>
      <c r="M122" s="7">
        <v>7500</v>
      </c>
      <c r="N122" s="8">
        <f t="shared" si="12"/>
        <v>420</v>
      </c>
      <c r="O122" s="6" t="s">
        <v>139</v>
      </c>
    </row>
    <row r="123" spans="1:15" ht="90" x14ac:dyDescent="0.25">
      <c r="A123" s="5"/>
      <c r="B123" s="7">
        <v>5</v>
      </c>
      <c r="C123" s="27" t="s">
        <v>463</v>
      </c>
      <c r="D123" s="6" t="s">
        <v>464</v>
      </c>
      <c r="E123" s="4" t="s">
        <v>465</v>
      </c>
      <c r="F123" s="27">
        <v>410405</v>
      </c>
      <c r="G123" s="28" t="s">
        <v>466</v>
      </c>
      <c r="H123" s="28" t="s">
        <v>467</v>
      </c>
      <c r="I123" s="7">
        <v>1</v>
      </c>
      <c r="J123" s="7">
        <v>1.5</v>
      </c>
      <c r="K123" s="7" t="s">
        <v>56</v>
      </c>
      <c r="L123" s="23"/>
      <c r="M123" s="7">
        <v>3000</v>
      </c>
      <c r="N123" s="8">
        <f t="shared" si="12"/>
        <v>77</v>
      </c>
      <c r="O123" s="6" t="s">
        <v>468</v>
      </c>
    </row>
    <row r="124" spans="1:15" ht="45" x14ac:dyDescent="0.25">
      <c r="A124" s="5"/>
      <c r="B124" s="7">
        <v>6</v>
      </c>
      <c r="C124" s="27" t="s">
        <v>469</v>
      </c>
      <c r="D124" s="6" t="s">
        <v>470</v>
      </c>
      <c r="E124" s="4" t="s">
        <v>471</v>
      </c>
      <c r="F124" s="27">
        <v>416223</v>
      </c>
      <c r="G124" s="28" t="s">
        <v>462</v>
      </c>
      <c r="H124" s="28" t="s">
        <v>467</v>
      </c>
      <c r="I124" s="7">
        <v>1</v>
      </c>
      <c r="J124" s="7">
        <v>1.5</v>
      </c>
      <c r="K124" s="7" t="s">
        <v>69</v>
      </c>
      <c r="L124" s="23"/>
      <c r="M124" s="7">
        <v>3000</v>
      </c>
      <c r="N124" s="8">
        <f t="shared" si="12"/>
        <v>77</v>
      </c>
      <c r="O124" s="6" t="s">
        <v>468</v>
      </c>
    </row>
    <row r="125" spans="1:15" ht="75" x14ac:dyDescent="0.25">
      <c r="A125" s="5"/>
      <c r="B125" s="7">
        <v>7</v>
      </c>
      <c r="C125" s="27" t="s">
        <v>472</v>
      </c>
      <c r="D125" s="6" t="s">
        <v>473</v>
      </c>
      <c r="E125" s="4" t="s">
        <v>474</v>
      </c>
      <c r="F125" s="27">
        <v>431401</v>
      </c>
      <c r="G125" s="28" t="s">
        <v>475</v>
      </c>
      <c r="H125" s="28" t="s">
        <v>467</v>
      </c>
      <c r="I125" s="7">
        <v>1</v>
      </c>
      <c r="J125" s="7">
        <v>1.5</v>
      </c>
      <c r="K125" s="7" t="s">
        <v>476</v>
      </c>
      <c r="L125" s="23"/>
      <c r="M125" s="7">
        <v>3000</v>
      </c>
      <c r="N125" s="8">
        <f t="shared" si="12"/>
        <v>77</v>
      </c>
      <c r="O125" s="6" t="s">
        <v>468</v>
      </c>
    </row>
    <row r="126" spans="1:15" ht="75" x14ac:dyDescent="0.25">
      <c r="A126" s="5"/>
      <c r="B126" s="7">
        <v>8</v>
      </c>
      <c r="C126" s="27" t="s">
        <v>477</v>
      </c>
      <c r="D126" s="6" t="s">
        <v>478</v>
      </c>
      <c r="E126" s="4" t="s">
        <v>479</v>
      </c>
      <c r="F126" s="27">
        <v>442504</v>
      </c>
      <c r="G126" s="28" t="s">
        <v>480</v>
      </c>
      <c r="H126" s="28" t="s">
        <v>467</v>
      </c>
      <c r="I126" s="7">
        <v>1</v>
      </c>
      <c r="J126" s="7">
        <v>1.5</v>
      </c>
      <c r="K126" s="7" t="s">
        <v>481</v>
      </c>
      <c r="L126" s="23"/>
      <c r="M126" s="7">
        <v>3000</v>
      </c>
      <c r="N126" s="8">
        <f t="shared" si="12"/>
        <v>77</v>
      </c>
      <c r="O126" s="6" t="s">
        <v>468</v>
      </c>
    </row>
    <row r="127" spans="1:15" ht="60" x14ac:dyDescent="0.25">
      <c r="A127" s="5"/>
      <c r="B127" s="7">
        <v>9</v>
      </c>
      <c r="C127" s="27" t="s">
        <v>482</v>
      </c>
      <c r="D127" s="6" t="s">
        <v>483</v>
      </c>
      <c r="E127" s="4" t="s">
        <v>484</v>
      </c>
      <c r="F127" s="27">
        <v>443106</v>
      </c>
      <c r="G127" s="28" t="s">
        <v>485</v>
      </c>
      <c r="H127" s="28" t="s">
        <v>63</v>
      </c>
      <c r="I127" s="7">
        <v>1</v>
      </c>
      <c r="J127" s="7">
        <v>1.5</v>
      </c>
      <c r="K127" s="7" t="s">
        <v>486</v>
      </c>
      <c r="L127" s="23"/>
      <c r="M127" s="7">
        <v>3000</v>
      </c>
      <c r="N127" s="8">
        <f t="shared" si="12"/>
        <v>77</v>
      </c>
      <c r="O127" s="6" t="s">
        <v>468</v>
      </c>
    </row>
    <row r="128" spans="1:15" ht="60" x14ac:dyDescent="0.25">
      <c r="A128" s="5"/>
      <c r="B128" s="7">
        <v>10</v>
      </c>
      <c r="C128" s="27" t="s">
        <v>487</v>
      </c>
      <c r="D128" s="6" t="s">
        <v>488</v>
      </c>
      <c r="E128" s="4" t="s">
        <v>489</v>
      </c>
      <c r="F128" s="27">
        <v>411057</v>
      </c>
      <c r="G128" s="28" t="s">
        <v>490</v>
      </c>
      <c r="H128" s="28" t="s">
        <v>63</v>
      </c>
      <c r="I128" s="7">
        <v>1</v>
      </c>
      <c r="J128" s="7">
        <v>9</v>
      </c>
      <c r="K128" s="7" t="s">
        <v>491</v>
      </c>
      <c r="L128" s="23"/>
      <c r="M128" s="7">
        <v>7000</v>
      </c>
      <c r="N128" s="8">
        <f t="shared" si="12"/>
        <v>282</v>
      </c>
      <c r="O128" s="6" t="s">
        <v>468</v>
      </c>
    </row>
    <row r="129" spans="1:15" ht="135" x14ac:dyDescent="0.25">
      <c r="A129" s="5"/>
      <c r="B129" s="7">
        <v>11</v>
      </c>
      <c r="C129" s="27" t="s">
        <v>492</v>
      </c>
      <c r="D129" s="6" t="s">
        <v>493</v>
      </c>
      <c r="E129" s="4" t="s">
        <v>494</v>
      </c>
      <c r="F129" s="27">
        <v>560078</v>
      </c>
      <c r="G129" s="28" t="s">
        <v>495</v>
      </c>
      <c r="H129" s="28" t="s">
        <v>496</v>
      </c>
      <c r="I129" s="7">
        <v>1</v>
      </c>
      <c r="J129" s="7">
        <v>9</v>
      </c>
      <c r="K129" s="7" t="s">
        <v>497</v>
      </c>
      <c r="L129" s="23"/>
      <c r="M129" s="7">
        <v>7000</v>
      </c>
      <c r="N129" s="8">
        <f t="shared" si="12"/>
        <v>282</v>
      </c>
      <c r="O129" s="6" t="s">
        <v>468</v>
      </c>
    </row>
    <row r="130" spans="1:15" ht="60" x14ac:dyDescent="0.25">
      <c r="A130" s="5"/>
      <c r="B130" s="7">
        <v>12</v>
      </c>
      <c r="C130" s="7" t="s">
        <v>498</v>
      </c>
      <c r="D130" s="7" t="s">
        <v>499</v>
      </c>
      <c r="E130" s="4" t="s">
        <v>500</v>
      </c>
      <c r="F130" s="7">
        <v>571201</v>
      </c>
      <c r="G130" s="7" t="s">
        <v>501</v>
      </c>
      <c r="H130" s="7" t="s">
        <v>502</v>
      </c>
      <c r="I130" s="7">
        <v>1</v>
      </c>
      <c r="J130" s="7">
        <v>5</v>
      </c>
      <c r="K130" s="7" t="s">
        <v>503</v>
      </c>
      <c r="L130" s="29"/>
      <c r="M130" s="7">
        <v>7000</v>
      </c>
      <c r="N130" s="8">
        <f t="shared" si="12"/>
        <v>282</v>
      </c>
      <c r="O130" s="6" t="s">
        <v>468</v>
      </c>
    </row>
    <row r="131" spans="1:15" ht="75" x14ac:dyDescent="0.25">
      <c r="A131" s="5" t="s">
        <v>504</v>
      </c>
      <c r="B131" s="7">
        <v>1</v>
      </c>
      <c r="C131" s="27" t="s">
        <v>505</v>
      </c>
      <c r="D131" s="6" t="s">
        <v>506</v>
      </c>
      <c r="E131" s="4" t="s">
        <v>507</v>
      </c>
      <c r="F131" s="27">
        <v>517501</v>
      </c>
      <c r="G131" s="28" t="s">
        <v>235</v>
      </c>
      <c r="H131" s="28" t="s">
        <v>75</v>
      </c>
      <c r="I131" s="7">
        <v>1</v>
      </c>
      <c r="J131" s="7">
        <v>20</v>
      </c>
      <c r="K131" s="7"/>
      <c r="L131" s="23"/>
      <c r="M131" s="7">
        <v>7000</v>
      </c>
      <c r="N131" s="8">
        <f t="shared" si="12"/>
        <v>420</v>
      </c>
      <c r="O131" s="6" t="s">
        <v>39</v>
      </c>
    </row>
    <row r="132" spans="1:15" ht="90" x14ac:dyDescent="0.25">
      <c r="A132" s="5"/>
      <c r="B132" s="7">
        <v>2</v>
      </c>
      <c r="C132" s="27" t="s">
        <v>508</v>
      </c>
      <c r="D132" s="6" t="s">
        <v>509</v>
      </c>
      <c r="E132" s="4" t="s">
        <v>510</v>
      </c>
      <c r="F132" s="27">
        <v>585201</v>
      </c>
      <c r="G132" s="28" t="s">
        <v>156</v>
      </c>
      <c r="H132" s="28" t="s">
        <v>44</v>
      </c>
      <c r="I132" s="7">
        <v>1</v>
      </c>
      <c r="J132" s="7">
        <v>20</v>
      </c>
      <c r="K132" s="7"/>
      <c r="L132" s="23"/>
      <c r="M132" s="7">
        <v>7500</v>
      </c>
      <c r="N132" s="8">
        <f t="shared" si="12"/>
        <v>420</v>
      </c>
      <c r="O132" s="6" t="s">
        <v>39</v>
      </c>
    </row>
    <row r="133" spans="1:15" ht="300" x14ac:dyDescent="0.25">
      <c r="A133" s="5"/>
      <c r="B133" s="7">
        <v>3</v>
      </c>
      <c r="C133" s="27" t="s">
        <v>511</v>
      </c>
      <c r="D133" s="6">
        <v>6303609441</v>
      </c>
      <c r="E133" s="4" t="s">
        <v>512</v>
      </c>
      <c r="F133" s="27">
        <v>501505</v>
      </c>
      <c r="G133" s="28" t="s">
        <v>513</v>
      </c>
      <c r="H133" s="28" t="s">
        <v>50</v>
      </c>
      <c r="I133" s="7">
        <v>1</v>
      </c>
      <c r="J133" s="7">
        <v>20</v>
      </c>
      <c r="K133" s="7"/>
      <c r="L133" s="23"/>
      <c r="M133" s="7">
        <v>6100</v>
      </c>
      <c r="N133" s="8">
        <f t="shared" si="12"/>
        <v>420</v>
      </c>
      <c r="O133" s="6" t="s">
        <v>373</v>
      </c>
    </row>
    <row r="134" spans="1:15" ht="75" x14ac:dyDescent="0.25">
      <c r="A134" s="5"/>
      <c r="B134" s="7">
        <v>4</v>
      </c>
      <c r="C134" s="27" t="s">
        <v>514</v>
      </c>
      <c r="D134" s="6">
        <v>9849552700</v>
      </c>
      <c r="E134" s="4" t="s">
        <v>515</v>
      </c>
      <c r="F134" s="27">
        <v>515801</v>
      </c>
      <c r="G134" s="28" t="s">
        <v>516</v>
      </c>
      <c r="H134" s="28" t="s">
        <v>75</v>
      </c>
      <c r="I134" s="7">
        <v>1</v>
      </c>
      <c r="J134" s="7">
        <v>20</v>
      </c>
      <c r="K134" s="7"/>
      <c r="L134" s="23"/>
      <c r="M134" s="7">
        <v>6100</v>
      </c>
      <c r="N134" s="8">
        <f t="shared" si="12"/>
        <v>420</v>
      </c>
      <c r="O134" s="6" t="s">
        <v>373</v>
      </c>
    </row>
    <row r="135" spans="1:15" ht="90" x14ac:dyDescent="0.25">
      <c r="A135" s="5"/>
      <c r="B135" s="7">
        <v>5</v>
      </c>
      <c r="C135" s="27" t="s">
        <v>517</v>
      </c>
      <c r="D135" s="6">
        <v>8919600357</v>
      </c>
      <c r="E135" s="4" t="s">
        <v>518</v>
      </c>
      <c r="F135" s="27">
        <v>516268</v>
      </c>
      <c r="G135" s="28" t="s">
        <v>519</v>
      </c>
      <c r="H135" s="28" t="s">
        <v>75</v>
      </c>
      <c r="I135" s="7">
        <v>1</v>
      </c>
      <c r="J135" s="7">
        <v>20</v>
      </c>
      <c r="K135" s="7"/>
      <c r="L135" s="23"/>
      <c r="M135" s="7">
        <v>6100</v>
      </c>
      <c r="N135" s="8">
        <f t="shared" si="12"/>
        <v>420</v>
      </c>
      <c r="O135" s="6" t="s">
        <v>373</v>
      </c>
    </row>
    <row r="136" spans="1:15" ht="90" x14ac:dyDescent="0.25">
      <c r="A136" s="5"/>
      <c r="B136" s="16">
        <v>6</v>
      </c>
      <c r="C136" s="25" t="s">
        <v>34</v>
      </c>
      <c r="D136" s="12" t="s">
        <v>520</v>
      </c>
      <c r="E136" s="13" t="s">
        <v>521</v>
      </c>
      <c r="F136" s="25">
        <v>454552</v>
      </c>
      <c r="G136" s="26" t="s">
        <v>37</v>
      </c>
      <c r="H136" s="26" t="s">
        <v>38</v>
      </c>
      <c r="I136" s="16">
        <v>1</v>
      </c>
      <c r="J136" s="16">
        <v>20</v>
      </c>
      <c r="K136" s="17" t="s">
        <v>100</v>
      </c>
      <c r="L136" s="31"/>
      <c r="M136" s="16">
        <v>6100</v>
      </c>
      <c r="N136" s="15">
        <v>720</v>
      </c>
      <c r="O136" s="12" t="s">
        <v>373</v>
      </c>
    </row>
    <row r="137" spans="1:15" ht="90" x14ac:dyDescent="0.25">
      <c r="A137" s="5"/>
      <c r="B137" s="16">
        <v>7</v>
      </c>
      <c r="C137" s="25" t="s">
        <v>34</v>
      </c>
      <c r="D137" s="12" t="s">
        <v>520</v>
      </c>
      <c r="E137" s="13" t="s">
        <v>521</v>
      </c>
      <c r="F137" s="25">
        <v>454552</v>
      </c>
      <c r="G137" s="26" t="s">
        <v>37</v>
      </c>
      <c r="H137" s="26" t="s">
        <v>38</v>
      </c>
      <c r="I137" s="16">
        <v>1</v>
      </c>
      <c r="J137" s="16">
        <v>25</v>
      </c>
      <c r="K137" s="17" t="s">
        <v>100</v>
      </c>
      <c r="L137" s="31"/>
      <c r="M137" s="16">
        <v>8500</v>
      </c>
      <c r="N137" s="15">
        <v>825</v>
      </c>
      <c r="O137" s="12" t="s">
        <v>20</v>
      </c>
    </row>
    <row r="138" spans="1:15" ht="105" x14ac:dyDescent="0.25">
      <c r="A138" s="5"/>
      <c r="B138" s="16">
        <v>8</v>
      </c>
      <c r="C138" s="25" t="s">
        <v>522</v>
      </c>
      <c r="D138" s="12" t="s">
        <v>523</v>
      </c>
      <c r="E138" s="13" t="s">
        <v>524</v>
      </c>
      <c r="F138" s="25">
        <v>502311</v>
      </c>
      <c r="G138" s="26" t="s">
        <v>525</v>
      </c>
      <c r="H138" s="26" t="s">
        <v>50</v>
      </c>
      <c r="I138" s="16">
        <v>1</v>
      </c>
      <c r="J138" s="16">
        <v>20</v>
      </c>
      <c r="K138" s="17" t="s">
        <v>100</v>
      </c>
      <c r="L138" s="31"/>
      <c r="M138" s="16">
        <v>6100</v>
      </c>
      <c r="N138" s="15">
        <v>720</v>
      </c>
      <c r="O138" s="12" t="s">
        <v>20</v>
      </c>
    </row>
    <row r="139" spans="1:15" ht="120" x14ac:dyDescent="0.25">
      <c r="A139" s="5"/>
      <c r="B139" s="16">
        <v>9</v>
      </c>
      <c r="C139" s="25" t="s">
        <v>526</v>
      </c>
      <c r="D139" s="12" t="s">
        <v>527</v>
      </c>
      <c r="E139" s="13" t="s">
        <v>528</v>
      </c>
      <c r="F139" s="25">
        <v>573201</v>
      </c>
      <c r="G139" s="26" t="s">
        <v>529</v>
      </c>
      <c r="H139" s="26" t="s">
        <v>44</v>
      </c>
      <c r="I139" s="16">
        <v>1</v>
      </c>
      <c r="J139" s="16">
        <v>20</v>
      </c>
      <c r="K139" s="17" t="s">
        <v>100</v>
      </c>
      <c r="L139" s="31"/>
      <c r="M139" s="16">
        <v>7500</v>
      </c>
      <c r="N139" s="15">
        <v>720</v>
      </c>
      <c r="O139" s="12" t="s">
        <v>20</v>
      </c>
    </row>
    <row r="140" spans="1:15" ht="105" x14ac:dyDescent="0.25">
      <c r="A140" s="5"/>
      <c r="B140" s="16">
        <v>10</v>
      </c>
      <c r="C140" s="25" t="s">
        <v>530</v>
      </c>
      <c r="D140" s="12" t="s">
        <v>531</v>
      </c>
      <c r="E140" s="13" t="s">
        <v>532</v>
      </c>
      <c r="F140" s="25">
        <v>495677</v>
      </c>
      <c r="G140" s="26" t="s">
        <v>533</v>
      </c>
      <c r="H140" s="26" t="s">
        <v>534</v>
      </c>
      <c r="I140" s="16">
        <v>1</v>
      </c>
      <c r="J140" s="16">
        <v>21</v>
      </c>
      <c r="K140" s="17" t="s">
        <v>100</v>
      </c>
      <c r="L140" s="31"/>
      <c r="M140" s="16">
        <v>8000</v>
      </c>
      <c r="N140" s="15">
        <v>741</v>
      </c>
      <c r="O140" s="12" t="s">
        <v>20</v>
      </c>
    </row>
    <row r="141" spans="1:15" ht="120" x14ac:dyDescent="0.25">
      <c r="A141" s="5"/>
      <c r="B141" s="7">
        <v>11</v>
      </c>
      <c r="C141" s="27" t="s">
        <v>535</v>
      </c>
      <c r="D141" s="6" t="s">
        <v>536</v>
      </c>
      <c r="E141" s="4" t="s">
        <v>537</v>
      </c>
      <c r="F141" s="27">
        <v>533294</v>
      </c>
      <c r="G141" s="28" t="s">
        <v>188</v>
      </c>
      <c r="H141" s="28" t="s">
        <v>75</v>
      </c>
      <c r="I141" s="7">
        <v>1</v>
      </c>
      <c r="J141" s="7">
        <v>10</v>
      </c>
      <c r="K141" s="7"/>
      <c r="L141" s="23"/>
      <c r="M141" s="7">
        <v>3100</v>
      </c>
      <c r="N141" s="8">
        <f t="shared" si="12"/>
        <v>282</v>
      </c>
      <c r="O141" s="6" t="s">
        <v>20</v>
      </c>
    </row>
    <row r="142" spans="1:15" ht="60" x14ac:dyDescent="0.25">
      <c r="A142" s="5"/>
      <c r="B142" s="16">
        <v>12</v>
      </c>
      <c r="C142" s="25" t="s">
        <v>538</v>
      </c>
      <c r="D142" s="12">
        <v>9030889606</v>
      </c>
      <c r="E142" s="13" t="s">
        <v>539</v>
      </c>
      <c r="F142" s="25">
        <v>509001</v>
      </c>
      <c r="G142" s="26" t="s">
        <v>540</v>
      </c>
      <c r="H142" s="26" t="s">
        <v>50</v>
      </c>
      <c r="I142" s="16">
        <v>1</v>
      </c>
      <c r="J142" s="16">
        <v>20</v>
      </c>
      <c r="K142" s="17" t="s">
        <v>100</v>
      </c>
      <c r="L142" s="31"/>
      <c r="M142" s="16">
        <v>6100</v>
      </c>
      <c r="N142" s="15">
        <v>720</v>
      </c>
      <c r="O142" s="12" t="s">
        <v>541</v>
      </c>
    </row>
    <row r="143" spans="1:15" ht="90" x14ac:dyDescent="0.25">
      <c r="A143" s="5"/>
      <c r="B143" s="7">
        <v>13</v>
      </c>
      <c r="C143" s="7" t="s">
        <v>542</v>
      </c>
      <c r="D143" s="29">
        <v>7004815305</v>
      </c>
      <c r="E143" s="4" t="s">
        <v>543</v>
      </c>
      <c r="F143" s="7">
        <v>828404</v>
      </c>
      <c r="G143" s="7" t="s">
        <v>544</v>
      </c>
      <c r="H143" s="7" t="s">
        <v>351</v>
      </c>
      <c r="I143" s="7">
        <v>1</v>
      </c>
      <c r="J143" s="7">
        <v>10</v>
      </c>
      <c r="K143" s="7"/>
      <c r="L143" s="29"/>
      <c r="M143" s="7">
        <v>1000</v>
      </c>
      <c r="N143" s="8">
        <f t="shared" si="12"/>
        <v>282</v>
      </c>
      <c r="O143" s="6" t="s">
        <v>27</v>
      </c>
    </row>
    <row r="145" spans="13:14" ht="26.25" x14ac:dyDescent="0.4">
      <c r="M145" s="37" t="s">
        <v>546</v>
      </c>
      <c r="N145" s="38">
        <f>SUM(N2:N143)</f>
        <v>64587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Jivadaya Operator</dc:creator>
  <cp:lastModifiedBy>Jivadaya Operator</cp:lastModifiedBy>
  <dcterms:created xsi:type="dcterms:W3CDTF">2015-06-05T18:17:20Z</dcterms:created>
  <dcterms:modified xsi:type="dcterms:W3CDTF">2025-09-26T05:50:33Z</dcterms:modified>
</cp:coreProperties>
</file>