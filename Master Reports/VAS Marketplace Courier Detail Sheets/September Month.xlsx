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Z:\JD NVCC\Documents\Documents 2025-26\Delhivery DATA FORMAT\Main sheet\2025\September\"/>
    </mc:Choice>
  </mc:AlternateContent>
  <xr:revisionPtr revIDLastSave="0" documentId="13_ncr:1_{14022E81-FC2E-46F4-B152-16141109A8F9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79" i="1" l="1"/>
  <c r="N82" i="1"/>
  <c r="N176" i="1" l="1"/>
  <c r="N165" i="1" l="1"/>
  <c r="N163" i="1"/>
  <c r="N162" i="1"/>
  <c r="N161" i="1"/>
  <c r="N158" i="1" l="1"/>
  <c r="N155" i="1" l="1"/>
  <c r="N154" i="1"/>
  <c r="N153" i="1"/>
  <c r="N152" i="1"/>
  <c r="N151" i="1"/>
  <c r="N150" i="1"/>
  <c r="N149" i="1"/>
  <c r="N148" i="1"/>
  <c r="N147" i="1"/>
  <c r="N146" i="1"/>
  <c r="N145" i="1"/>
  <c r="N140" i="1" l="1"/>
  <c r="N138" i="1"/>
  <c r="N137" i="1"/>
  <c r="N136" i="1"/>
  <c r="N133" i="1"/>
  <c r="N132" i="1"/>
  <c r="N131" i="1"/>
  <c r="N129" i="1"/>
  <c r="N115" i="1" l="1"/>
  <c r="N114" i="1"/>
  <c r="N106" i="1" l="1"/>
  <c r="N105" i="1"/>
  <c r="N102" i="1" l="1"/>
  <c r="N101" i="1"/>
  <c r="N99" i="1"/>
  <c r="N94" i="1"/>
  <c r="N91" i="1" l="1"/>
  <c r="N88" i="1"/>
  <c r="N87" i="1"/>
  <c r="N86" i="1"/>
  <c r="N85" i="1"/>
  <c r="N77" i="1" l="1"/>
  <c r="N76" i="1"/>
  <c r="N75" i="1"/>
  <c r="N74" i="1"/>
  <c r="N73" i="1"/>
  <c r="N71" i="1"/>
  <c r="N62" i="1" l="1"/>
  <c r="N61" i="1"/>
  <c r="N47" i="1" l="1"/>
  <c r="N44" i="1"/>
  <c r="N43" i="1"/>
  <c r="N40" i="1"/>
  <c r="N39" i="1"/>
  <c r="N37" i="1" l="1"/>
  <c r="N28" i="1" l="1"/>
  <c r="N22" i="1"/>
  <c r="N16" i="1" l="1"/>
  <c r="N15" i="1"/>
  <c r="N14" i="1"/>
  <c r="N12" i="1"/>
  <c r="N8" i="1" l="1"/>
  <c r="N6" i="1"/>
  <c r="N4" i="1" l="1"/>
  <c r="N3" i="1"/>
  <c r="N2" i="1"/>
</calcChain>
</file>

<file path=xl/sharedStrings.xml><?xml version="1.0" encoding="utf-8"?>
<sst xmlns="http://schemas.openxmlformats.org/spreadsheetml/2006/main" count="1202" uniqueCount="594">
  <si>
    <t>Sr No</t>
  </si>
  <si>
    <t>Costumer name</t>
  </si>
  <si>
    <t>Contact Number</t>
  </si>
  <si>
    <t>Costumer address</t>
  </si>
  <si>
    <t>Pin code</t>
  </si>
  <si>
    <t>City</t>
  </si>
  <si>
    <t>State</t>
  </si>
  <si>
    <t>No of Boxes</t>
  </si>
  <si>
    <t>Weight</t>
  </si>
  <si>
    <t>invoice no &amp; order no.</t>
  </si>
  <si>
    <t>Docket</t>
  </si>
  <si>
    <t>Amount</t>
  </si>
  <si>
    <t>Ref</t>
  </si>
  <si>
    <t>Date</t>
  </si>
  <si>
    <t>Invoice Value</t>
  </si>
  <si>
    <t>Braj Vilas Pr</t>
  </si>
  <si>
    <t>West Bengal</t>
  </si>
  <si>
    <t>SSCPr</t>
  </si>
  <si>
    <t>Maharashtra</t>
  </si>
  <si>
    <t>Madhya Pradesh</t>
  </si>
  <si>
    <t>Krishna Rupa Mtji</t>
  </si>
  <si>
    <t>Bangalore</t>
  </si>
  <si>
    <t>Karnataka</t>
  </si>
  <si>
    <t>Telangana</t>
  </si>
  <si>
    <t xml:space="preserve">AP </t>
  </si>
  <si>
    <t>Courier_01</t>
  </si>
  <si>
    <t>JDOD</t>
  </si>
  <si>
    <t>Navi Mumbai</t>
  </si>
  <si>
    <t xml:space="preserve">MH </t>
  </si>
  <si>
    <t>Hyderabad</t>
  </si>
  <si>
    <t>Courier_02</t>
  </si>
  <si>
    <t>Andhra Pradesh</t>
  </si>
  <si>
    <t>Kurnool</t>
  </si>
  <si>
    <t>Tamil Nadu</t>
  </si>
  <si>
    <t>Vijayawada</t>
  </si>
  <si>
    <t>Abhishek Harsha</t>
  </si>
  <si>
    <t>Bihar</t>
  </si>
  <si>
    <t>New Delhi</t>
  </si>
  <si>
    <t>Dinanath Narayan Pr</t>
  </si>
  <si>
    <t>ODA</t>
  </si>
  <si>
    <t>Punjab</t>
  </si>
  <si>
    <t>Odoo</t>
  </si>
  <si>
    <t>Kerala</t>
  </si>
  <si>
    <t>Prerana Latne Mtji</t>
  </si>
  <si>
    <t>Raipur</t>
  </si>
  <si>
    <t xml:space="preserve">Guntur </t>
  </si>
  <si>
    <t>Gujarat</t>
  </si>
  <si>
    <t>DIPAK MALL</t>
  </si>
  <si>
    <t>GOVIND BHAWAN
NEW PLOT AREA, NO SHOOTING
GHOSH SWEETS LANE
PO-SALUA
DISTT-PASCHIM MEDINIPUR 
PIN-721145(WB)</t>
  </si>
  <si>
    <t>Jajpur</t>
  </si>
  <si>
    <t>Odisha</t>
  </si>
  <si>
    <t>Chhattisgarh</t>
  </si>
  <si>
    <t>Tirupati</t>
  </si>
  <si>
    <t>Cancelled</t>
  </si>
  <si>
    <t>Jaipur</t>
  </si>
  <si>
    <t>Rajasthan</t>
  </si>
  <si>
    <t>Palash Adhikary</t>
  </si>
  <si>
    <t>Jaigaon</t>
  </si>
  <si>
    <t>Indore</t>
  </si>
  <si>
    <t>Kharagpur</t>
  </si>
  <si>
    <t>Uttar Pradesh</t>
  </si>
  <si>
    <t>Jharkhand</t>
  </si>
  <si>
    <t>Haryana</t>
  </si>
  <si>
    <t>Angul</t>
  </si>
  <si>
    <t>Hingoli</t>
  </si>
  <si>
    <t>Uttarakhand</t>
  </si>
  <si>
    <t>Visakhapatnam</t>
  </si>
  <si>
    <t>Poonam Agrawal</t>
  </si>
  <si>
    <t>Jhansi</t>
  </si>
  <si>
    <t xml:space="preserve">West Bengal </t>
  </si>
  <si>
    <t>West Medinipur</t>
  </si>
  <si>
    <t>West Midnapore</t>
  </si>
  <si>
    <t xml:space="preserve">Pune </t>
  </si>
  <si>
    <t>Jdod</t>
  </si>
  <si>
    <t>Courier_03</t>
  </si>
  <si>
    <t>Courier_04</t>
  </si>
  <si>
    <t>Courier_05</t>
  </si>
  <si>
    <t>Pune</t>
  </si>
  <si>
    <t>Bengaluru</t>
  </si>
  <si>
    <t xml:space="preserve">Karnataka </t>
  </si>
  <si>
    <t>Anantapur</t>
  </si>
  <si>
    <t>H no 1-4-48/2, Rajendranagar,Newtown,Mahbubnagar,Andhra Pradesh,509001</t>
  </si>
  <si>
    <t>Mahbubnagar</t>
  </si>
  <si>
    <t>Nvcc Seva Office</t>
  </si>
  <si>
    <t>Saroj Kumar singh</t>
  </si>
  <si>
    <t>Durga colony near saraswati vidya mandir dugda coal washry,District bokaro state Jharkhand ,pin code 828404</t>
  </si>
  <si>
    <t>Bokaro</t>
  </si>
  <si>
    <t>T. CHANDRA SEKHAR</t>
  </si>
  <si>
    <t xml:space="preserve">C/o. T. LAKSHMI NARAYANA, FLAT No.103, FIRST Floor, Sri LAXMI ARCADE,  COCONUT GROVE LAY OUT  No. 42, 43 &amp; 44, 
HORAMAVU, K.R. PURAM HOBLI, BANGALORE TO- 560 043 KARNATAKA </t>
  </si>
  <si>
    <t>Krish kumar Pandey</t>
  </si>
  <si>
    <t>Krish kumar Pandey
Ashopur, babakkarpur Khagul road ,
Danpur Vastu ,
Bihar, Patna
P-801503</t>
  </si>
  <si>
    <t>Patna</t>
  </si>
  <si>
    <t>Kamal Kant Pr</t>
  </si>
  <si>
    <t>ISKCON TENALI,
Tankasala, Koka Vari St, Nazerpeta, Ramalingeswara Pet, Tenali, Andhra Pradesh 522201</t>
  </si>
  <si>
    <t>Tenali</t>
  </si>
  <si>
    <t>Pradhan Purush Pr</t>
  </si>
  <si>
    <t>01.09.25</t>
  </si>
  <si>
    <t>02.09.25</t>
  </si>
  <si>
    <t xml:space="preserve">Ch Rama Krishna </t>
  </si>
  <si>
    <t>15-8-458/1/B, Feelkhana, Begum bazar, Opposite to Hotel Mansingh 500012</t>
  </si>
  <si>
    <t>Madan Sundar Pr // Ashok Pr</t>
  </si>
  <si>
    <t>Mrs.Ambika</t>
  </si>
  <si>
    <t>9944034705,
9952602323</t>
  </si>
  <si>
    <t>T,102B,sandhapettai road, near GOkul mahal ,Dharmapuri (DT), Dharmapuri 636701.
TAMILNADU.</t>
  </si>
  <si>
    <t>Dharmapuri</t>
  </si>
  <si>
    <t>Gauranga Pran Pr // Braj Vilas Pr</t>
  </si>
  <si>
    <t>S. V. Sudhakar</t>
  </si>
  <si>
    <t>D: No: G-1/17-31
Frizerpet
J. Rama Rao Street
Chittinagar Vijayawada, Krishna
Andhra Pradesh
Pin Code: 520001</t>
  </si>
  <si>
    <t xml:space="preserve">Lakshmi Ghosh </t>
  </si>
  <si>
    <t>City - Bolpur , Jambuni Udayanpally, LIC office road, near guruji store 
Post - Bolpur 
Dist - Birbhum 
West Bengal 
Pin code 731204</t>
  </si>
  <si>
    <t>Birbhum</t>
  </si>
  <si>
    <t>Suraj Thorat</t>
  </si>
  <si>
    <t>8597168967, 8855892262</t>
  </si>
  <si>
    <t>Gajanan Kripa building, Behind Lokamanya Stationery mall, 
Near PMT gate, Loni Bk., Loni, Tal: Rahata, 
Ahilyanagar MH 413736</t>
  </si>
  <si>
    <t xml:space="preserve">Ahilyanagar </t>
  </si>
  <si>
    <t>Perla.SankaraRao</t>
  </si>
  <si>
    <t xml:space="preserve">The address  apartment 
Cblock  .310.
Near.ciny police Diyatar
Maduravada  .Pin.530048
Vodarod.mithapuri .colony
Visakapatnam. </t>
  </si>
  <si>
    <t>Madhurawada</t>
  </si>
  <si>
    <t>Puri das</t>
  </si>
  <si>
    <t>Iskcon Angul
At/Po - Angul
Dist - Angul
Odisha 
Pin-759122</t>
  </si>
  <si>
    <t>Suddha Chitta Prji // Anadi Govind Pr</t>
  </si>
  <si>
    <t>Mandar Joshi</t>
  </si>
  <si>
    <t>78/1 Ishan Enclave, Dangat industrial estate, Flat 36 5th floor, Shivane, Pune, 411023, Maharashtra (IN), India</t>
  </si>
  <si>
    <t>Rahul Warrier</t>
  </si>
  <si>
    <t>Bhagirathi Nagar, Adharwadi, E-504, Mangeshi Dream City, BLDG-3, Kalyan West, 421301, Maharashtra (IN), India</t>
  </si>
  <si>
    <t>Kalyan</t>
  </si>
  <si>
    <t>Ananya</t>
  </si>
  <si>
    <t>Flat No. 207, Building No. 9B, Swapnapoorti Phase 2 Housing Society, Sector No. 26, Pradhikaran, Nigdi, Pune - 411044, Pune, 411044, Maharashtra (IN), India</t>
  </si>
  <si>
    <t>Ajit Shinde</t>
  </si>
  <si>
    <t>98501 17250</t>
  </si>
  <si>
    <t xml:space="preserve">Parth Electronics, Tanpure Complex, pragati vidayalaya road, 
Navi peth, Rahuri, Ahilyanager, MH 143705 </t>
  </si>
  <si>
    <t>Ahilyanager</t>
  </si>
  <si>
    <t>04.09.25</t>
  </si>
  <si>
    <t>05.09.25</t>
  </si>
  <si>
    <t xml:space="preserve">Vishal Prabhakar Koli </t>
  </si>
  <si>
    <t>At/Post Sakegaon Bhawani Nagar Tal. Bhusawal Dist. Jalgaon 
Pin : 425201</t>
  </si>
  <si>
    <t>Jalgaon</t>
  </si>
  <si>
    <t>Antaryamy Khandagiri</t>
  </si>
  <si>
    <t>At/ Nuasahi( near Sai Nursing College)
Po/Ps- Baliguda
Dist- Kandhamal
Pin-762103</t>
  </si>
  <si>
    <t>Kandhamal</t>
  </si>
  <si>
    <t>Tulasi Das</t>
  </si>
  <si>
    <t>House no- 1/21, Road no -3/2 seti,Serilingampally,Steta.
Telengana
Pin no-500019
Phone-7077019335</t>
  </si>
  <si>
    <t>Sanjana Acharya</t>
  </si>
  <si>
    <t xml:space="preserve">Flat/302
VRR Recidency/ 2nd left
Ramchandra Reddy Colony/ Ramchandrapuram
Hydrabad/502032
Telengana </t>
  </si>
  <si>
    <t xml:space="preserve">Gayatri Rout </t>
  </si>
  <si>
    <t>Teacher colony 
Malkangiri/ Odisha/ pin no-764045</t>
  </si>
  <si>
    <t>Malkangiri</t>
  </si>
  <si>
    <t>Nitta provision store</t>
  </si>
  <si>
    <t>Nitta provision store , village tundla mandi , ambala cantt , haryana (133001)</t>
  </si>
  <si>
    <t>Ambala</t>
  </si>
  <si>
    <t>Kakali Das</t>
  </si>
  <si>
    <t>Bolpur Trisulapatty , near Durga Mandir.
Post Office - Bolpur Trisulapatty SO
Police station - Bolpur
District - Birbhum 
West Bengal 
Pin code -731204</t>
  </si>
  <si>
    <t>Bolpur</t>
  </si>
  <si>
    <t>RVC // Prerana Latne Mtji</t>
  </si>
  <si>
    <t>Sarthak Katare</t>
  </si>
  <si>
    <t>62606 69262‬</t>
  </si>
  <si>
    <t>273, Sankriti Royal Park, Rau , MP 
453331</t>
  </si>
  <si>
    <t>Jogbani Haat, Jogbani Dist: Araria, State:Bihar ,India,Zip code:854328</t>
  </si>
  <si>
    <t>Jogbani</t>
  </si>
  <si>
    <t>Namita Swapnil Pandit</t>
  </si>
  <si>
    <t>A8-502, guardian eastern meadows, sakhare farms, grant road, opposite to mahalaxmi lawn kharadi, Pune, 411014, Maharashtra (IN), India</t>
  </si>
  <si>
    <t>Jd Collection // Odoo</t>
  </si>
  <si>
    <t>Atmakur prasad</t>
  </si>
  <si>
    <t>97034 84216, 98857 91858</t>
  </si>
  <si>
    <t>12/3/400, jesus nagar, hare krishna nilayam, 
ananthapur, AP 515001</t>
  </si>
  <si>
    <t>ananthapur</t>
  </si>
  <si>
    <t>Ashok Rajpal</t>
  </si>
  <si>
    <t>70425 98637</t>
  </si>
  <si>
    <t>Ambrane India Pvt Ltd, Plot No. 10, Printing Press Area, 
Wazirpur, Near RTO Office and Bus Depot, 
New Delhi 110035</t>
  </si>
  <si>
    <t>Mandeep Singh Pahwa</t>
  </si>
  <si>
    <t>98886 08009</t>
  </si>
  <si>
    <t>Avon Cycles Ltd, G T Road, 
Opposite Dhandhari Kalan Railway Station, 
Ludhiana, Punjab 141003</t>
  </si>
  <si>
    <t>Ludhiana</t>
  </si>
  <si>
    <t xml:space="preserve">Punjab </t>
  </si>
  <si>
    <t>Shri S. Somnath</t>
  </si>
  <si>
    <t>90374 43407</t>
  </si>
  <si>
    <t>Antariksh Bhavan, New BEL Rd, Amarjyothi Layout, 
Raj Mahal Vilas 2nd Stage, R.M.V. 2nd Stage, 
Bengaluru, Karnataka 560094</t>
  </si>
  <si>
    <t>Ashok Kumar</t>
  </si>
  <si>
    <t>Avon Cycles Ltd, G T Road, 
Opposite Dhandhari Kalan Railway Station, Ludhiana, 
Punjab 141003</t>
  </si>
  <si>
    <t>06.09.25</t>
  </si>
  <si>
    <t xml:space="preserve">Krushi Duniya </t>
  </si>
  <si>
    <t>College Road Nayagarh
Odisha 
Pin 752069</t>
  </si>
  <si>
    <t>Nayagarh</t>
  </si>
  <si>
    <t>Tapas Maity</t>
  </si>
  <si>
    <t>9893848330/7003881951</t>
  </si>
  <si>
    <t>S/O:-Madhav Maity 
Address :-335,sindhi colony,dixitpura,mahatmaggandhi ward,Jabalpur,Jabalpur,
Madhya Pradesh -482002</t>
  </si>
  <si>
    <t>Jabalpur</t>
  </si>
  <si>
    <t>RVC Stall // Prerana Latne Mtji</t>
  </si>
  <si>
    <t>S Bala Subramanyam</t>
  </si>
  <si>
    <t>301/2 RT Saidabad Colony Hyderabad 500059
Andhra Pradesh</t>
  </si>
  <si>
    <t>Venudhari Krishna Pr // Bhavatarini Lakshmi Mtji</t>
  </si>
  <si>
    <t>Rakesh Kumar Mishra</t>
  </si>
  <si>
    <t>House No. 201
IBD Raiseena Colony
Near NRI College,
Patel Nagar,
Bhopal, Madhya Pradesh – 462022</t>
  </si>
  <si>
    <t>Bhopal</t>
  </si>
  <si>
    <t>Gauranga Pran Pr // Aja Narayan Pr</t>
  </si>
  <si>
    <t>Sanjeev acharya</t>
  </si>
  <si>
    <t>9247672913, 9848990070</t>
  </si>
  <si>
    <t>Hanuman temple, Railway station road, Saddalgundu, Near srinivasa Palakendram, Mahabubnagar, 509001</t>
  </si>
  <si>
    <t xml:space="preserve">Mahbubnagar </t>
  </si>
  <si>
    <t>Madan Sundar Pr // Ashok Chaudhary Pr</t>
  </si>
  <si>
    <t>Vidhya S</t>
  </si>
  <si>
    <t xml:space="preserve"> 8281867712
</t>
  </si>
  <si>
    <t>Sarasini
TC 1/1687, NRA 60, Medical College P.O, Trivandrum, Kerala, 695011</t>
  </si>
  <si>
    <t>Trivandrum</t>
  </si>
  <si>
    <t>KKML Priyanka</t>
  </si>
  <si>
    <t>KKML Priyanka
Door no: 7-2-1769, 
Flat no.406, Akruthi Presidency, Bunglow no.33, Street no: 4,
Czech colony, Opp.Satyasai super market,
Sanath Nagar  Hyderabad-500018.(Telangana State) India.</t>
  </si>
  <si>
    <t>RVC / Venkat Pr</t>
  </si>
  <si>
    <t xml:space="preserve">Aryansh Dubey </t>
  </si>
  <si>
    <t>House Number 11
Shekhar Colony near Patel Nursing Home Hardoi 
Pin 241001</t>
  </si>
  <si>
    <t>Hardoi</t>
  </si>
  <si>
    <t>Sakshi Achyut Pr // 7275045898</t>
  </si>
  <si>
    <t>Rushikesh Ashok Bidve</t>
  </si>
  <si>
    <t>Sri Sai Nilayam 
House no 8-1-87/4/A/38 Sainagar colony, Shaikpet, Hyderabad 500008, Telangana TS, India</t>
  </si>
  <si>
    <t xml:space="preserve">Ujjwal Nilamani Pr </t>
  </si>
  <si>
    <t>Uma Patra</t>
  </si>
  <si>
    <t>D/O Suren Patra
At Sanjoal(Near Shiva Mandir) 
P. O. Kharagpur, P. S. KGP(T), 
Dist. Pashchim Medinipur, W. B. 
PIN 721301 </t>
  </si>
  <si>
    <t>D·RAVI KUMAR</t>
  </si>
  <si>
    <t>H.NO19-9-53.Opposite ASR Guest house,Old TIRUCHANOOR ROAD.TIRUPATI- 517501 A.P</t>
  </si>
  <si>
    <t xml:space="preserve">Kavita Lanjewar </t>
  </si>
  <si>
    <t>9131514464/7225950715</t>
  </si>
  <si>
    <t>Opp Sunny Provision Stores,Pearl Beauty Parlour , New Shanti Nagar, Raipur - 492001</t>
  </si>
  <si>
    <t>Prahlad Pran Pr // 7225950715</t>
  </si>
  <si>
    <t>Piyuh Chaturvedi</t>
  </si>
  <si>
    <t>In front of V-Mart, Samsherpuram wali gali, Near care Makeup salon, gauri bazar, Sarojini nagar, Lucknow, 226008, Uttar Pradesh (IN), India</t>
  </si>
  <si>
    <t>Lucknow</t>
  </si>
  <si>
    <t>India</t>
  </si>
  <si>
    <t>08.09.25</t>
  </si>
  <si>
    <t>Smt. Madhabi Ghosh</t>
  </si>
  <si>
    <t>8250078181 / 7001731635</t>
  </si>
  <si>
    <t>At Pashchim Pathri
P. O. Hijli Co-Operative(721306) 
P. S. Kharagpur (L) 
Dist. Pashchim Medinipur (W.B.) 
Mob. 8250078181/7001731635</t>
  </si>
  <si>
    <t>Prerna Udhwani</t>
  </si>
  <si>
    <t>Kavita Pearl apt,203 near Anand greens Vasant Valley Road Khadakpada Kalyan(w)
Pin code - 421301
Phone no -9545431092
State - Maharashtra</t>
  </si>
  <si>
    <t>Chiman Lal Kaushik</t>
  </si>
  <si>
    <t>9466337144 &amp;
9996992346</t>
  </si>
  <si>
    <t>Chiman Lal Kaushik
# 104 Preet Colony, Jandli, Ambala City
PIN-134003</t>
  </si>
  <si>
    <t>Jitendra nayak</t>
  </si>
  <si>
    <t>Plot no-301,3rd floor,s.r arcade, plot no-14&amp;15,D.no-30-167/14, street no-2, Surya Nagar,ps-Malikajgiri
Dist- Medchal -Malkjgiri
telengana -5600047</t>
  </si>
  <si>
    <t>Malkajgiri</t>
  </si>
  <si>
    <t xml:space="preserve">Prashant A. Patel </t>
  </si>
  <si>
    <t>8160622343‬</t>
  </si>
  <si>
    <t xml:space="preserve">2A/3 sadanand kripa 
Alka society chhapra road Navsari  Gujarat 396445  </t>
  </si>
  <si>
    <t>Navsari</t>
  </si>
  <si>
    <t>B. Umadevi</t>
  </si>
  <si>
    <t>9063949890, 9444340260</t>
  </si>
  <si>
    <t>UTY Apartment plot : 404
Mamata Nagar auto stand(near)
Venkataramana colony
Kurnool dt
Pin : 518006</t>
  </si>
  <si>
    <t xml:space="preserve">Kurnool </t>
  </si>
  <si>
    <t>Dr Meenakshi Sharma</t>
  </si>
  <si>
    <t>Flat no.376 ,E18, 3rd floor
Brahmananda Aashiana
Tamulia, Jamshedpur
Jharkhand
Pin - 831001</t>
  </si>
  <si>
    <t xml:space="preserve">Jamshedpur </t>
  </si>
  <si>
    <t>Sravanthi D.</t>
  </si>
  <si>
    <t>9676135675, 
‪99855 67979‬</t>
  </si>
  <si>
    <t>2-4-123/ES/38, G Floor, 
1st portion, Swaroop Nagar, 
Uppal, Medchal-Malkajgiri, Telangana, 
Pin-500039</t>
  </si>
  <si>
    <t xml:space="preserve">Kanakalata meher </t>
  </si>
  <si>
    <t>At: Nageswarpur 
Po: Tilottamadeipur 
Near swaraj tractor show room, Indupur road 
Dist- KENDRAPARA 
State- Odisha 
PIN:754250</t>
  </si>
  <si>
    <t>Kendrapara</t>
  </si>
  <si>
    <t>A. Haranadha Babu</t>
  </si>
  <si>
    <t xml:space="preserve">8008729990‬, 
9704921190‬
</t>
  </si>
  <si>
    <t>P-355, F-401, 4th floor, Sadguru Sadhan
Shiridihills, Mahadevapuram Colony, Gajularamaram Village
HYDERABAD, TELANGANA 500055
India</t>
  </si>
  <si>
    <t xml:space="preserve">Minakshi </t>
  </si>
  <si>
    <t xml:space="preserve">9494231463
</t>
  </si>
  <si>
    <t xml:space="preserve">MOG.. II.. 313
NEAR  to Adithi hostel
HIG PARK
9th phase
Back to NEXUS forum mall
KPHB COLONY 
KUKKATPALLY
HYDERABAD </t>
  </si>
  <si>
    <t>Aman Singhal</t>
  </si>
  <si>
    <t>2, Old Gur Mandi, Near PNB Bank, Muradnagar, 201206, Uttar Pradesh (IN), India</t>
  </si>
  <si>
    <t>Muradnagar</t>
  </si>
  <si>
    <t>JD Collection//Odoo</t>
  </si>
  <si>
    <t>Avinash Awasthi</t>
  </si>
  <si>
    <t>Radha Kunj, Lane No. 6, Krishna Vihar Colony, Pathak Puram, Lucknow, 226025, Uttar Pradesh (IN), India</t>
  </si>
  <si>
    <t>Suresh chandra Srivastava</t>
  </si>
  <si>
    <t>H.no. 1292. Ramji Puram, P.O  Malika mau Aima,Basteypur, Landmark: Mother Teresa montessori school, Raebareli, 229010, Uttar Pradesh (IN), India</t>
  </si>
  <si>
    <t>Raebareli</t>
  </si>
  <si>
    <t>Pandurang G Savant</t>
  </si>
  <si>
    <t>Baad Nagawada, P.O Nandangadda, Taluka - Karwar, Uttar Kannada District , Karnataka, 581304, Karnataka (IN), India</t>
  </si>
  <si>
    <t>Uttar Kannada District</t>
  </si>
  <si>
    <t>Karnataka (IN)</t>
  </si>
  <si>
    <t>Gyandeep Harwani</t>
  </si>
  <si>
    <t>Gyandeep Garments, Sheikhon Ka Mohalla, Asind, Rajasthan 311301, Asind, 311301, Rajasthan (IN), India</t>
  </si>
  <si>
    <t>Asind</t>
  </si>
  <si>
    <t>Rajasthan (IN)</t>
  </si>
  <si>
    <t>85971 68967, 
88558 92262</t>
  </si>
  <si>
    <t>Gajanan Kripa building, Behind Lokamanya Stationery mall, 
Near PMT gate, Loni Bk., Loni, Tal: Rahata, 
Dist: Ahilyanagar, MH 413736</t>
  </si>
  <si>
    <t>Ahilyanagar</t>
  </si>
  <si>
    <t>Kamala Kanta das 
(kiran Dasari)</t>
  </si>
  <si>
    <t>96230 14987</t>
  </si>
  <si>
    <t>ISKCON TENALI, Tankasala, Koka Vari St, Nazerpeta, 
Ramalingeswara Pet, Tenali, Andhra Pradesh 522201</t>
  </si>
  <si>
    <t>09.09.25</t>
  </si>
  <si>
    <t xml:space="preserve">Raj Shrivastava </t>
  </si>
  <si>
    <t>Flat No-404,Wing-C,Green Estate Apartment,Rohkal road,Near Ambethan chowk
Landmark:AMS ENGLISH MEDIUM SCHOOL,Chakan,Pune-410501</t>
  </si>
  <si>
    <t>Madhupuri Vallabh Pr // Danveer Mohan Pr</t>
  </si>
  <si>
    <t xml:space="preserve">Ashish Kumar Ananda Pangrekar </t>
  </si>
  <si>
    <t>Flat no. 8143, 14th floor, 8A block, Sobha dream gardens residential apartment,  Bellahalli,  near kannur lake, Banglore, Karnataka. 
560064</t>
  </si>
  <si>
    <t xml:space="preserve">Bangalore </t>
  </si>
  <si>
    <t>Satish Sherkar Pr</t>
  </si>
  <si>
    <t>Hema Harshitha</t>
  </si>
  <si>
    <t>Nallacheruvu,4/2,
Door no:81-5-525
Pincode:522003
Guntur,Andhra Pradesh</t>
  </si>
  <si>
    <t>Revati Pati Pr</t>
  </si>
  <si>
    <t>Nilendra Gouda</t>
  </si>
  <si>
    <t>Kalua Sahi, Gurunthi, VTC:Jogiapalli, PO:Gurunchi, District:Ganjam, State;Odisha, Pin Code: 761001</t>
  </si>
  <si>
    <t xml:space="preserve">Ganjam </t>
  </si>
  <si>
    <t>Hitesh Bodhe</t>
  </si>
  <si>
    <t>H. NO. 1019/1 PRABHAT ROAD SAMARTHA COLONY, VIJAYNAGAR KALEWADI PIMPRI, PUNE, 411017, Maharashtra (IN), India</t>
  </si>
  <si>
    <t>JD Collection // Odoo</t>
  </si>
  <si>
    <t>Dr. Sanjeevani Rohidas Bhalsingh.</t>
  </si>
  <si>
    <t>Ganga Aashiyana Society, Thergaon, Flat no. 702, Pimpri Chinchwad, 411033, Maharashtra (IN), India</t>
  </si>
  <si>
    <t>Sipra Swain</t>
  </si>
  <si>
    <t>Royal Entrada Society, C Wing, Flat No 901, Near Bhumkar Chowk, Wakad, Pune, 411057, Maharashtra (IN), India</t>
  </si>
  <si>
    <t xml:space="preserve">Shri Kuleshwar Chandrakar </t>
  </si>
  <si>
    <t>9755891807,9669920600, 9131952385</t>
  </si>
  <si>
    <t>Suncity Phase No - 01, Kurud Town,
District - Dhamtari (Chattisgarha State)
 Pin No - 493663</t>
  </si>
  <si>
    <t>Kurud</t>
  </si>
  <si>
    <t>Sandeep Chandrakar Pr</t>
  </si>
  <si>
    <t xml:space="preserve">Ritu Hissaria </t>
  </si>
  <si>
    <t xml:space="preserve">14 / 61, Malviya Nagar 
Near amit bhardwaj petrol pump 
Jaipur </t>
  </si>
  <si>
    <t>Jagatpura</t>
  </si>
  <si>
    <t>One Day Bus Party // Amit Tantia Pr</t>
  </si>
  <si>
    <t>Ravikant Jagtap</t>
  </si>
  <si>
    <t>84240 24875</t>
  </si>
  <si>
    <t>B-806, National park view -2 CHS LTD., Raheja Estate, 
Kulupwadi, borivali East, MH 400066</t>
  </si>
  <si>
    <t>Borivali East</t>
  </si>
  <si>
    <t>Amol Nivrutti Wagh, 
Sunanda Amol Wagh</t>
  </si>
  <si>
    <t>72185 01901, 
80108 20473</t>
  </si>
  <si>
    <t>Sankalp nagar, near mukatai colony, bhaygaon road, 
malegaon camp, Tal.malegaon, Nashik, MH 423203</t>
  </si>
  <si>
    <t>Nashik</t>
  </si>
  <si>
    <t>10.09.25</t>
  </si>
  <si>
    <t>20.09.25</t>
  </si>
  <si>
    <t>Subasini Behera</t>
  </si>
  <si>
    <t>Q No -F222,Sector-19,near ananya school,ROURKELA,Pincode-769005</t>
  </si>
  <si>
    <t>Rourkela</t>
  </si>
  <si>
    <t>Sushil Kumar</t>
  </si>
  <si>
    <t>S/O Dinesh Sah,Ward no : 13,Salha buzurg,Salha ,bithan, Samastipur,Bihar 848207</t>
  </si>
  <si>
    <t>Bithan</t>
  </si>
  <si>
    <t>Shekhar Singhi</t>
  </si>
  <si>
    <t>9922581687 / 9834193654</t>
  </si>
  <si>
    <t>A4, 1901,Mahindra Antheia,
Nehrunagar Road,
Pimpri,
Pune - 411018.</t>
  </si>
  <si>
    <t>C SOMESEKHARA REDDY</t>
  </si>
  <si>
    <t>12-2-587 Jesus nagar
S V Degree College
Ananthapur
Andhra Pradesh
PIN code 515 001</t>
  </si>
  <si>
    <t>Param Gati Pr</t>
  </si>
  <si>
    <t>ADARSH TIBREWAL</t>
  </si>
  <si>
    <t>ADARSH TIBREWAL
Shree Kunj, 3rd Floor, Ganesh Mill Chariali
Tezpur, Assam 784001</t>
  </si>
  <si>
    <t>Tezpur</t>
  </si>
  <si>
    <t>Assam</t>
  </si>
  <si>
    <t xml:space="preserve">Popat Nivrutti Shitole </t>
  </si>
  <si>
    <t>At - post = Kusegaon 
Near Bhanoba Highschool 
Taluka = Daund 
Dist.= Pune  412219</t>
  </si>
  <si>
    <t>Balu Sukadev Benake</t>
  </si>
  <si>
    <t xml:space="preserve">At post = Alegaon paga 
Taluka = Shirur
Dist. = Pune.  412211
</t>
  </si>
  <si>
    <t>Archana Duseja</t>
  </si>
  <si>
    <t>123 Karanpur
Dehradun 
Uttrakhand - 248001</t>
  </si>
  <si>
    <t>Dehradun</t>
  </si>
  <si>
    <t>Shyam Lila Pr</t>
  </si>
  <si>
    <t>Dr Pradyumna 
Warwantkar</t>
  </si>
  <si>
    <t>88066 34851</t>
  </si>
  <si>
    <t>Anmol Rugnalaya shop, Jawala bazar, Aundha, 
Hingoli, MH 431705</t>
  </si>
  <si>
    <t>12.09.25</t>
  </si>
  <si>
    <t>22.09.25</t>
  </si>
  <si>
    <t>Prema Basnet</t>
  </si>
  <si>
    <t>House No.595 Teachers colony,chitanis nagar, Nagpur, 440009</t>
  </si>
  <si>
    <t>Nagpr</t>
  </si>
  <si>
    <t>RVC // Vamsi Mohan Pr</t>
  </si>
  <si>
    <t>Santosh panigrahi</t>
  </si>
  <si>
    <t>Goswami Healthcare 
Goilundi Main Road 
Near Govt up School
Berhampur—760004
Ganjam,Odisha</t>
  </si>
  <si>
    <t>Ganjam</t>
  </si>
  <si>
    <t>Judhistira Gouda</t>
  </si>
  <si>
    <t>Baritala Sahi, Bhikapada, Bhikapada, Ganjam, Odisha - 761029</t>
  </si>
  <si>
    <t xml:space="preserve">ODA </t>
  </si>
  <si>
    <t>Bal Krishan</t>
  </si>
  <si>
    <t>9417564865, 
9914386626</t>
  </si>
  <si>
    <t>House no 116 gawal mandi
C/o Babloo karyana store 
Near Baba Balak Nath Mandir
FEROZEPUR  Cantt (Punjab)
PIN 152001</t>
  </si>
  <si>
    <t>Firozpur</t>
  </si>
  <si>
    <t>No Service</t>
  </si>
  <si>
    <t>Shuddha Chitta Pr // Anadi Govind Pr</t>
  </si>
  <si>
    <t>Gopalpur Uttar Para, Sukanta pally near Annapurna  Muri meal , Pin - 713212, District- Paschim Bardhaman
City  -  durgapur</t>
  </si>
  <si>
    <t>Durgapur</t>
  </si>
  <si>
    <t>1st floor , Goyal Nivas Kunj Bihari colony, near BKD hostel
 Jhansi 284001</t>
  </si>
  <si>
    <t xml:space="preserve">Kavya k s </t>
  </si>
  <si>
    <t xml:space="preserve">8618371463, 8073485416
</t>
  </si>
  <si>
    <t>Lab technician
Govt.  community health center  &amp; mch hospital 
Nayakanahatty.
Nayakanahatty (post)
Challakere(taluk)
Chitradurga (district)
Pin -577536</t>
  </si>
  <si>
    <t>Chitradurga</t>
  </si>
  <si>
    <t>Reghunathan pillai</t>
  </si>
  <si>
    <t>9446508540, 7020500667</t>
  </si>
  <si>
    <t>Reghunathan pillai
 Thundathil, Kurattikkadu, Mannar P. O Pin 689622
Kerala</t>
  </si>
  <si>
    <t>Mannar</t>
  </si>
  <si>
    <t>Gopal Sureshchandraji Agrawal // Rupesh Agarwal</t>
  </si>
  <si>
    <t>Mr. Mukundanunni Aiswarya</t>
  </si>
  <si>
    <t>9400792009, 7020500667</t>
  </si>
  <si>
    <t>Trs colony Olavakkode 678002
Palakkad, Kerala.</t>
  </si>
  <si>
    <t>Olavakkot</t>
  </si>
  <si>
    <t>13.09.25</t>
  </si>
  <si>
    <t>Bijayananda Nahak</t>
  </si>
  <si>
    <t>Palur, VTC:Jharidiradhagovindapur, PO:Palur, Dist:Ganjam, State:Odisha, Pin Code:761027</t>
  </si>
  <si>
    <t>Babulal Yadav</t>
  </si>
  <si>
    <t>S/O Sangam Yadav
Address , Village Newas maphee, Post - khajuri , District- Gorakhpur
Pincode 273212</t>
  </si>
  <si>
    <t> 273212</t>
  </si>
  <si>
    <t>Gorakhpur</t>
  </si>
  <si>
    <t>Sumit Mestri // 8983212958</t>
  </si>
  <si>
    <t>Preeti Nagar</t>
  </si>
  <si>
    <t>67New ashok nagar, gali no.2, Behind model school, Raju Kaptan ki gali, Ujjain 456010</t>
  </si>
  <si>
    <t>Ujjain</t>
  </si>
  <si>
    <t>Akshay Kamboj</t>
  </si>
  <si>
    <t>515, Sector 30
Kurukshetra
Haryana - 136118</t>
  </si>
  <si>
    <t>Kurukshetra</t>
  </si>
  <si>
    <t>RVC // Chitra Lalita Mtji</t>
  </si>
  <si>
    <t xml:space="preserve">Nidhi Raval </t>
  </si>
  <si>
    <t>10 Matruchhaya Apartments opposite 58 arunodaya society alkapuri Vadodara
Pin:390007</t>
  </si>
  <si>
    <t>Vadodara</t>
  </si>
  <si>
    <t xml:space="preserve">Yash Khurana </t>
  </si>
  <si>
    <t>F / 401  PL no 5 building no 2S NO 178/5  Vidharbh Premier, near Gandhi Sagar empress mall , nagpur 440018</t>
  </si>
  <si>
    <t>Nagpur</t>
  </si>
  <si>
    <t>Dr. Indu Mohanty</t>
  </si>
  <si>
    <t>Sri Krishna Bakery
Plot no 38 &amp; 39,
Next to Torrent Advertisers
Rasulgarh Industrial Estate 
Bhubaneswar 751010</t>
  </si>
  <si>
    <t>Rasulgarh</t>
  </si>
  <si>
    <t xml:space="preserve">Nirakara Subudhi </t>
  </si>
  <si>
    <t>Supratik life style-I
Kuruda
Po/ Dist- Balasore
Odisha
PIN  756056</t>
  </si>
  <si>
    <t>Balasore</t>
  </si>
  <si>
    <t>15.09.25</t>
  </si>
  <si>
    <t xml:space="preserve">UMA SHANKARPRAJAPATI </t>
  </si>
  <si>
    <t>UMA SHANKARPRAJAPATI VILL RAGHAV PUR  PO CHAURI CHAURA D IST GORA KH PUR UP PIN 273201</t>
  </si>
  <si>
    <t xml:space="preserve">Gorakhpur </t>
  </si>
  <si>
    <t>Bhavatarini Lakshmi Mtji // Venudhari Krishna Pr</t>
  </si>
  <si>
    <t>Jitendarkumar. Sharmaji</t>
  </si>
  <si>
    <t xml:space="preserve">PlatNo521 Shivaji Nagar.  Shastri nagar Jaipur. Rajsthan Pin cod 302016 </t>
  </si>
  <si>
    <t>Abhishekh Yadav</t>
  </si>
  <si>
    <t xml:space="preserve">Village. Khampar. Ydav tola    Post. Khampar.   Tahsil Bhatpar Rani.  Distic. Deoria. Up. 
Pin cod  274702. </t>
  </si>
  <si>
    <t>Bhatpar Rani</t>
  </si>
  <si>
    <t>16.09.25</t>
  </si>
  <si>
    <t>D lila shree sita ansuya</t>
  </si>
  <si>
    <t>Door no 10/40A1
Gowrishankar puram
Viswa vignan school backside
Gudivada 
Krishna district
Andra Pradesh 521301</t>
  </si>
  <si>
    <t xml:space="preserve">Krishna </t>
  </si>
  <si>
    <t>Andra Pradesh</t>
  </si>
  <si>
    <t>KOTRA VANISREE</t>
  </si>
  <si>
    <t>Building opposite to slv bakery,Sampth medical Store,Veeraballi, ANDHRA PRADESH 516268</t>
  </si>
  <si>
    <t>Veeraballi</t>
  </si>
  <si>
    <t>Yogendra Prajapati</t>
  </si>
  <si>
    <t>B-255 Guru nanak dev colony, bhalashwa dairy, delhi 110042</t>
  </si>
  <si>
    <t xml:space="preserve">delhi </t>
  </si>
  <si>
    <t>K Venkata Padmavati</t>
  </si>
  <si>
    <t>Building next to Susrutha Homeo Hospital, 2nd floor
Narayana Collage Road
VUYYURU, ANDHRA PRADESH 521165</t>
  </si>
  <si>
    <t>VUYYURU</t>
  </si>
  <si>
    <t>Aditya K R</t>
  </si>
  <si>
    <t>#2011, Rukmani Nilaya, GNR extension, Chintamani, 
Chikkaballapur dist, KA 563125</t>
  </si>
  <si>
    <t xml:space="preserve">Chikkaballapur </t>
  </si>
  <si>
    <t xml:space="preserve">KA </t>
  </si>
  <si>
    <t>VILL RAGHAV PUR  PO CHAURI CHAURA, GORAKHPUR UP 273201</t>
  </si>
  <si>
    <t xml:space="preserve">GORAKHPUR </t>
  </si>
  <si>
    <t xml:space="preserve">UP </t>
  </si>
  <si>
    <t>Anmol Vaswani</t>
  </si>
  <si>
    <t> 8765794226</t>
  </si>
  <si>
    <t>35, Lakshmi Niwas( Opposite to Vatsalyam Centre for Autism) 5th Cross Street, LH Nagar, Adambakkam, Chennai, Tamil Nadu 600088</t>
  </si>
  <si>
    <t>Chennai</t>
  </si>
  <si>
    <t>Jitendar kumar Sharmaji</t>
  </si>
  <si>
    <t>99837 81307</t>
  </si>
  <si>
    <t>Plot No.521, Shivaji Nagar, Shastri nagar, Jaipur, Rajasthan 302016</t>
  </si>
  <si>
    <t xml:space="preserve">Rajasthan </t>
  </si>
  <si>
    <t>99180 19034</t>
  </si>
  <si>
    <t>Village- Khampar. Ydav tola, Post- Khampar, Bhatpar Rani, Deoria, UP 274702</t>
  </si>
  <si>
    <t>Deoria</t>
  </si>
  <si>
    <t>Rajiv Kumar</t>
  </si>
  <si>
    <t>Bright Future school
Bardhaiya
Mathura
Chapra 841419</t>
  </si>
  <si>
    <t>Chapra</t>
  </si>
  <si>
    <t xml:space="preserve">B L Prakash </t>
  </si>
  <si>
    <t>G 4, Lakshmi enclave, Adarsh avenue 
Nizampet, near HP Petrol pump 
Hyderabad 500090</t>
  </si>
  <si>
    <t>S. Jyothi</t>
  </si>
  <si>
    <t>8978286264, 9397603967</t>
  </si>
  <si>
    <t xml:space="preserve">C/o S. Kamalakar rao
 2-3-1388/5/E , Vijayapal colony, phase - 3, waddepalli, Hanamkonda 506001.Telangana </t>
  </si>
  <si>
    <t>Smt Chandrakala</t>
  </si>
  <si>
    <t>9441445158,
 9704899542, 9440792793</t>
  </si>
  <si>
    <t>W/o Sri Hari Prasad,
Srinivasa Nilayam Building,
Flour Mill Street,
Narayana Collage Back side,
Dharampuram,
Hindupur - 515 201
Satyasai District</t>
  </si>
  <si>
    <t>Niharika Kandukuri</t>
  </si>
  <si>
    <t>SAHIT NIWAS ,PLOT NO 133 ,2ND FLOOR, FLAT NO 203 ,NEAR GOWTAM MODEL SCHOOL, BHAGYA NAGAR COLONY, 3RD ROAD, JAYA NAGAR, KPHB Colony,
HYDERABAD
Telangana-500072</t>
  </si>
  <si>
    <t>Dr.R.Rajani</t>
  </si>
  <si>
    <t>9491524424, 
9444340260</t>
  </si>
  <si>
    <t>Flat no:203,Laxmi residency 
Area:Near Srinivasa theater,Kallur road
District:Kurnool
State:AP
Pincode:518003</t>
  </si>
  <si>
    <t>K.naveen kumar</t>
  </si>
  <si>
    <t>9849425991,
‪ 9985567979‬</t>
  </si>
  <si>
    <t>Shanthi gardens 
Block E 313 flat.
Raghavandra nagar nacharam.
Hyderabad
 PIN code.500076.</t>
  </si>
  <si>
    <t>Gollapally Harika</t>
  </si>
  <si>
    <t>9059753880,
97049 21190‬</t>
  </si>
  <si>
    <t>H:No - 8-5-551/D
Kothirampur 
Karimnagar 
Telangana 
Pin:- 505001</t>
  </si>
  <si>
    <t>Karimnagar</t>
  </si>
  <si>
    <t>Pratima</t>
  </si>
  <si>
    <t>8978089014,
‪9704921190</t>
  </si>
  <si>
    <t>H:no 7-2-270
Opposite Rajiv Gandhi park
Mankammathota
Karimnagar 
Telangana
505001</t>
  </si>
  <si>
    <t>Jupaka Sanjeev</t>
  </si>
  <si>
    <t>9490474792, 
97049 21190‬</t>
  </si>
  <si>
    <t>H. No. 3-76/17/3/4/2
Hariharanagar Rd no. 6
Rekurthi
Karimnagar
Telangana
Pin:505451</t>
  </si>
  <si>
    <t>A.Nageswara Rao</t>
  </si>
  <si>
    <t>Flat no.502
Infocity Eyrie
Opp. Swetha garden Function hall, kailash nagar 
Chandanagar, 
Hyderabad 500050</t>
  </si>
  <si>
    <t xml:space="preserve">P.Sakkamma </t>
  </si>
  <si>
    <t>9963900218, 9444340260</t>
  </si>
  <si>
    <t>Village Mailaram 
Door  no.4-8 
 Mandal Dharur Dist Vikarabad Stet Telangana
Pincode no.501121</t>
  </si>
  <si>
    <t>Ranga Reddy</t>
  </si>
  <si>
    <t xml:space="preserve">Siba Barman </t>
  </si>
  <si>
    <t>New Subhash Pally Jaigaon. West Bengal Dist-alipurduar. Pin - 736182</t>
  </si>
  <si>
    <t>Aditya Kumar Sain</t>
  </si>
  <si>
    <t xml:space="preserve">A44, Lalita Nagar, Nayapura, Kolar road, Bhopal, 462042, Near Gokul Dairy
</t>
  </si>
  <si>
    <t xml:space="preserve">
G. Vijaya lakhsmi</t>
  </si>
  <si>
    <t>201, Svs staff quarters, 
Opp SVS dental hospital,
Appannallay,
Mahaboobnagar.
509001.
Telangana.</t>
  </si>
  <si>
    <t>Mahabubnagar</t>
  </si>
  <si>
    <t>Shweta bhagchandani</t>
  </si>
  <si>
    <t>Flat no. 301, 3rd floor, Rudra apartment, uday nagar square near Vikas public school, Manewada, Maharashtra, Nagpur 440034. India</t>
  </si>
  <si>
    <t>Ajay Gauranga Pr // Odoo</t>
  </si>
  <si>
    <t>Karuna Murti Das</t>
  </si>
  <si>
    <t>70304 33344</t>
  </si>
  <si>
    <t>ISKCON South Bengaluru, 3rd Main Road Samruddi Enclave, 
2nd Stage Kumaraswamy Layout, Bengaluru, Karnataka 560111</t>
  </si>
  <si>
    <t>19.09.25</t>
  </si>
  <si>
    <t>29.09.25</t>
  </si>
  <si>
    <t>Dhirendra ku. Sahu</t>
  </si>
  <si>
    <t>Laxmi narayan street 
Lunighati, po - polasara
Ganjam, odisha
Pin - 761105</t>
  </si>
  <si>
    <t>Rajnisha Chopra</t>
  </si>
  <si>
    <t>C 504
Rishi Apartment 
Zirakpur - 140603</t>
  </si>
  <si>
    <t>Zirakpur</t>
  </si>
  <si>
    <t>S.Geethasri</t>
  </si>
  <si>
    <t>9597216806,
8438100113</t>
  </si>
  <si>
    <t>No, 23, Mahalakshmi Nagar,
 Netaji Nagar,
Ariyur,
Thorapadi,
Vellore 2 
Pin code 623001</t>
  </si>
  <si>
    <t>Karaikudi</t>
  </si>
  <si>
    <t>Not Sent</t>
  </si>
  <si>
    <t>JD Collection</t>
  </si>
  <si>
    <t>Akanksha Keshav Jadhav</t>
  </si>
  <si>
    <t>232/A/16, APTE Colony, Bhosari, Pimpri-Chinchwad, Maharashtra 411039, Pimpri Chinchwad, 411039, Maharashtra (IN), India</t>
  </si>
  <si>
    <t>Praveen Kumar</t>
  </si>
  <si>
    <t>S/O Late Sh. Bishambhar Chand 
V.P.O - Aerla 
Tehsil Baroh 
District Kangra 
Himachal Pradesh 
Pin code:176054</t>
  </si>
  <si>
    <t>Kangra</t>
  </si>
  <si>
    <t>Himachal Pradesh</t>
  </si>
  <si>
    <t>JD Collection // Ishwar Dhir Pr</t>
  </si>
  <si>
    <t xml:space="preserve">Bharat Kamboj </t>
  </si>
  <si>
    <t> 9595880000</t>
  </si>
  <si>
    <t>Flat no 1301
OPHIRA-2
Apollo DB city
Nipania
Indore-452010
Madhya Pradesh</t>
  </si>
  <si>
    <t>Phurpa Tsering</t>
  </si>
  <si>
    <t>Village: Sapper Camp
Po/ps: Dirang
District: West Kameng
State: Arunachal Pradesh
Pin:  790101</t>
  </si>
  <si>
    <t>Dirang</t>
  </si>
  <si>
    <t>Arunachal Pradesh</t>
  </si>
  <si>
    <t>Vidisha Rastogi</t>
  </si>
  <si>
    <t>ATS Raphsody 
Flat 2254, Tower 2, Floor 25th
Bisrakh Jalalpur
Greater Noida West (Sector 1)
201306 Uttar Pradesh</t>
  </si>
  <si>
    <t>Gautam Buddha Nagar</t>
  </si>
  <si>
    <t>Deepika Gupta</t>
  </si>
  <si>
    <t>Govt. Quarter near police chowki Mandawa mode Jhunjhunu 333001</t>
  </si>
  <si>
    <t>Jhunjhunu</t>
  </si>
  <si>
    <t xml:space="preserve">Gaurav Kumar Singh </t>
  </si>
  <si>
    <t>S/o - Harendra Kumar Singh 
Keshaw Niwas, K.G Road, Nawada, Ara
P.O - Nawada, P.S - Nawada
Pincode - 802301,
District - Bhojpur, Bihar.</t>
  </si>
  <si>
    <t>Ara</t>
  </si>
  <si>
    <t>9417564865,
9914386626</t>
  </si>
  <si>
    <t>Ferozpur</t>
  </si>
  <si>
    <t>Suddha Chitta Pr // Anadi Govind Pr</t>
  </si>
  <si>
    <t>Sudarshan Pawar</t>
  </si>
  <si>
    <t>Gayatri Traders Market Yard Gate No 2 Karad</t>
  </si>
  <si>
    <t xml:space="preserve">Karad </t>
  </si>
  <si>
    <t>Sachinandan Bhagavan Pr</t>
  </si>
  <si>
    <t>Shubham Khatri</t>
  </si>
  <si>
    <t>Khatri Pedhewale, Raviwaar Peth, Junnar,Pune</t>
  </si>
  <si>
    <t xml:space="preserve">Ugge  Radhika  Ramarao </t>
  </si>
  <si>
    <t>8978286264,
‪9397603967‬</t>
  </si>
  <si>
    <t>House no 2- 8 307
Ragavendra nagar  phase 2
Near NGO's  colony 
Waddepally 
Hanmakonda 
Pin code  506001</t>
  </si>
  <si>
    <t>Warangal</t>
  </si>
  <si>
    <t>Bonda Jaya Lakshmi</t>
  </si>
  <si>
    <t xml:space="preserve">9440122700‬,
9444340260
</t>
  </si>
  <si>
    <t>27-10-4-1/1 Plot no 55, Krupa complex,
Opp BOI lane, Safilguda,
VTC: Ramakrishna Puram,
PO: Neredmet,
Sub District: Tirumalagiri, District: Hyderabad,
State: Telangana,
PIN Code: 500056</t>
  </si>
  <si>
    <t>P Bhaskara Rao</t>
  </si>
  <si>
    <t>Dr No.64–22–40/b,Kunchamma Colony, Sriharipuram,Malkapuram post, Visakhapatnam– 530011</t>
  </si>
  <si>
    <t xml:space="preserve"> (+30 Charge)</t>
  </si>
  <si>
    <t>UMA UDAY GUJAR</t>
  </si>
  <si>
    <t>krishna kunj bungalow, near government colony, arogya mandir, ratnagiri-- 415612</t>
  </si>
  <si>
    <t>Ratnagiri</t>
  </si>
  <si>
    <t>24.09.25</t>
  </si>
  <si>
    <t>SAURABH GOGOI</t>
  </si>
  <si>
    <t>IGGL, 2nd Floor , SHILLONG PATTY, SAGARIKA REGENCY, SILCHAR, 788001, Assam (IN), India</t>
  </si>
  <si>
    <t>Silchar</t>
  </si>
  <si>
    <t>35rs Extra</t>
  </si>
  <si>
    <t>27.09.25</t>
  </si>
  <si>
    <t>Achutananda Barada</t>
  </si>
  <si>
    <t>Hare Krishna Namahtta Center, Kusapalli , post -Golia, via-Buguda , district -Ganjam, Pin -761118, Odisha</t>
  </si>
  <si>
    <t>Buguda</t>
  </si>
  <si>
    <t>Dr. Suresh Pawar</t>
  </si>
  <si>
    <t>Pioneer Hospital, Near Bhagwati Timber Market, Patan Road, Umbraj. Tal - Karad, Dist - Satara, Maharashtra, India</t>
  </si>
  <si>
    <t>Karad</t>
  </si>
  <si>
    <t>ODA // Cancelled</t>
  </si>
  <si>
    <t>K Karthik Kumar</t>
  </si>
  <si>
    <t>Raman Govind Pr</t>
  </si>
  <si>
    <t>Mayank Agrawal</t>
  </si>
  <si>
    <t xml:space="preserve"> 9741660044,
9301745621</t>
  </si>
  <si>
    <t>C/o - Krishna Crop Care  
Near Ganj Sabji Mandi
Basantpur 
Rajnandgaon 
Chhattisgarh 
Pin - 491441</t>
  </si>
  <si>
    <t> Rajnandgaon</t>
  </si>
  <si>
    <t>Bhakti Vaibhav Pr // Braj Vilas Pr</t>
  </si>
  <si>
    <t>Kalandi Charan Das</t>
  </si>
  <si>
    <t>C/O Birakishor Das,
NAHAN,
VTC: Haripur, PO: Haripur,
Sub District: Sukinda, Dist: Jajpur,
State: Odisha, Pin Code: 755005</t>
  </si>
  <si>
    <t>Vaishali Patil</t>
  </si>
  <si>
    <t>Indrayani co op H Society AL-3 B No- 29 R.No 6 1st Floor  
Near Avadhoot Hospital
Sector -19 
Airoli, Navi Mumbai  Pin code-400708</t>
  </si>
  <si>
    <t>Bhakti Vaibhav Pr</t>
  </si>
  <si>
    <t>Sivadas Nair</t>
  </si>
  <si>
    <t>Plot no. 45, House no. 12, Sector 7, Gandhidham, Kutch, Gujarat. PIN 370201</t>
  </si>
  <si>
    <t>Kutch</t>
  </si>
  <si>
    <t>Balabhadra Kripa Pr</t>
  </si>
  <si>
    <t>30.09.25</t>
  </si>
  <si>
    <t>Abhishek Pandey Pr</t>
  </si>
  <si>
    <t>90827 89020</t>
  </si>
  <si>
    <t>A2 1208, Snn Raj Serenity, Begur Koppa Road, 
Yelenahalli, Bangalore, KA 560068</t>
  </si>
  <si>
    <t>11.09.25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</si>
</sst>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1D35"/>
      <name val="Arial"/>
      <family val="2"/>
    </font>
    <font>
      <b/>
      <i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2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0" fillId="3" borderId="0" xfId="0" applyFill="1"/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1" fontId="1" fillId="2" borderId="0" xfId="0" applyNumberFormat="1" applyFont="1" applyFill="1" applyAlignment="1">
      <alignment horizontal="center" vertical="center"/>
    </xf>
    <xf numFmtId="4" fontId="0" fillId="3" borderId="1" xfId="0" applyNumberForma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left" vertical="center" wrapText="1"/>
    </xf>
    <xf numFmtId="0" fontId="4" fillId="3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3" borderId="0" xfId="0" applyFont="1" applyFill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79"/>
  <sheetViews>
    <sheetView tabSelected="1" topLeftCell="A163" zoomScale="70" zoomScaleNormal="70" workbookViewId="0">
      <selection activeCell="L164" sqref="L164"/>
    </sheetView>
  </sheetViews>
  <sheetFormatPr defaultRowHeight="15" x14ac:dyDescent="0.25"/>
  <cols>
    <col min="1" max="1" width="12" style="1" bestFit="1" customWidth="1"/>
    <col min="2" max="2" width="7.85546875" bestFit="1" customWidth="1"/>
    <col min="3" max="3" width="28.7109375" bestFit="1" customWidth="1"/>
    <col min="4" max="4" width="20.140625" bestFit="1" customWidth="1"/>
    <col min="5" max="5" width="22.42578125" bestFit="1" customWidth="1"/>
    <col min="6" max="6" width="11.7109375" bestFit="1" customWidth="1"/>
    <col min="7" max="7" width="20.7109375" bestFit="1" customWidth="1"/>
    <col min="8" max="8" width="18.7109375" bestFit="1" customWidth="1"/>
    <col min="9" max="9" width="15.28515625" bestFit="1" customWidth="1"/>
    <col min="10" max="10" width="9.5703125" bestFit="1" customWidth="1"/>
    <col min="11" max="11" width="27.140625" bestFit="1" customWidth="1"/>
    <col min="12" max="12" width="21.5703125" bestFit="1" customWidth="1"/>
    <col min="13" max="13" width="17.28515625" bestFit="1" customWidth="1"/>
    <col min="14" max="14" width="17.85546875" bestFit="1" customWidth="1"/>
    <col min="15" max="15" width="22.85546875" bestFit="1" customWidth="1"/>
  </cols>
  <sheetData>
    <row r="1" spans="1:15" x14ac:dyDescent="0.25">
      <c r="A1" s="2" t="s">
        <v>13</v>
      </c>
      <c r="B1" s="2" t="s">
        <v>0</v>
      </c>
      <c r="C1" s="2" t="s">
        <v>1</v>
      </c>
      <c r="D1" s="2" t="s">
        <v>2</v>
      </c>
      <c r="E1" s="3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14</v>
      </c>
      <c r="N1" s="2" t="s">
        <v>11</v>
      </c>
      <c r="O1" s="2" t="s">
        <v>12</v>
      </c>
    </row>
    <row r="2" spans="1:15" ht="150" x14ac:dyDescent="0.25">
      <c r="A2" s="5" t="s">
        <v>96</v>
      </c>
      <c r="B2" s="7">
        <v>1</v>
      </c>
      <c r="C2" s="22" t="s">
        <v>87</v>
      </c>
      <c r="D2" s="6">
        <v>8886968697</v>
      </c>
      <c r="E2" s="4" t="s">
        <v>88</v>
      </c>
      <c r="F2" s="22">
        <v>560043</v>
      </c>
      <c r="G2" s="23" t="s">
        <v>21</v>
      </c>
      <c r="H2" s="23" t="s">
        <v>22</v>
      </c>
      <c r="I2" s="7">
        <v>1</v>
      </c>
      <c r="J2" s="7">
        <v>20</v>
      </c>
      <c r="K2" s="7"/>
      <c r="L2" s="19"/>
      <c r="M2" s="7">
        <v>6100</v>
      </c>
      <c r="N2" s="8">
        <f t="shared" ref="N2:N4" si="0">IF(J2&lt;=0.5, 45,
   IF(J2&lt;=1, 50,
   IF(J2&lt;=1.5, 77,
   IF(J2&lt;=2, 92,
   IF(J2&lt;=10, 282, 420)))))</f>
        <v>420</v>
      </c>
      <c r="O2" s="6" t="s">
        <v>43</v>
      </c>
    </row>
    <row r="3" spans="1:15" ht="120" x14ac:dyDescent="0.25">
      <c r="A3" s="5"/>
      <c r="B3" s="7">
        <v>2</v>
      </c>
      <c r="C3" s="22" t="s">
        <v>89</v>
      </c>
      <c r="D3" s="6">
        <v>6200139171</v>
      </c>
      <c r="E3" s="4" t="s">
        <v>90</v>
      </c>
      <c r="F3" s="22">
        <v>801503</v>
      </c>
      <c r="G3" s="23" t="s">
        <v>36</v>
      </c>
      <c r="H3" s="23" t="s">
        <v>91</v>
      </c>
      <c r="I3" s="7">
        <v>1</v>
      </c>
      <c r="J3" s="7">
        <v>20</v>
      </c>
      <c r="K3" s="7"/>
      <c r="L3" s="19"/>
      <c r="M3" s="7">
        <v>8640</v>
      </c>
      <c r="N3" s="8">
        <f t="shared" si="0"/>
        <v>420</v>
      </c>
      <c r="O3" s="6" t="s">
        <v>15</v>
      </c>
    </row>
    <row r="4" spans="1:15" ht="90" x14ac:dyDescent="0.25">
      <c r="A4" s="5"/>
      <c r="B4" s="7">
        <v>3</v>
      </c>
      <c r="C4" s="22" t="s">
        <v>92</v>
      </c>
      <c r="D4" s="6">
        <v>9209131255</v>
      </c>
      <c r="E4" s="4" t="s">
        <v>93</v>
      </c>
      <c r="F4" s="22">
        <v>522201</v>
      </c>
      <c r="G4" s="23" t="s">
        <v>94</v>
      </c>
      <c r="H4" s="23" t="s">
        <v>31</v>
      </c>
      <c r="I4" s="7">
        <v>1</v>
      </c>
      <c r="J4" s="7">
        <v>1</v>
      </c>
      <c r="K4" s="7"/>
      <c r="L4" s="19"/>
      <c r="M4" s="7">
        <v>1000</v>
      </c>
      <c r="N4" s="8">
        <f t="shared" si="0"/>
        <v>50</v>
      </c>
      <c r="O4" s="6" t="s">
        <v>95</v>
      </c>
    </row>
    <row r="5" spans="1:15" x14ac:dyDescent="0.25">
      <c r="A5"/>
      <c r="B5" s="2" t="s">
        <v>0</v>
      </c>
      <c r="C5" s="2" t="s">
        <v>1</v>
      </c>
      <c r="D5" s="2" t="s">
        <v>2</v>
      </c>
      <c r="E5" s="3" t="s">
        <v>3</v>
      </c>
      <c r="F5" s="2" t="s">
        <v>4</v>
      </c>
      <c r="G5" s="2" t="s">
        <v>5</v>
      </c>
      <c r="H5" s="2" t="s">
        <v>6</v>
      </c>
      <c r="I5" s="2" t="s">
        <v>7</v>
      </c>
      <c r="J5" s="2" t="s">
        <v>8</v>
      </c>
      <c r="K5" s="2" t="s">
        <v>9</v>
      </c>
      <c r="L5" s="2" t="s">
        <v>10</v>
      </c>
      <c r="M5" s="2" t="s">
        <v>14</v>
      </c>
      <c r="N5" s="2" t="s">
        <v>11</v>
      </c>
      <c r="O5" s="2" t="s">
        <v>12</v>
      </c>
    </row>
    <row r="6" spans="1:15" ht="60" x14ac:dyDescent="0.25">
      <c r="A6" s="5" t="s">
        <v>97</v>
      </c>
      <c r="B6" s="7">
        <v>1</v>
      </c>
      <c r="C6" s="22" t="s">
        <v>98</v>
      </c>
      <c r="D6" s="6">
        <v>9849038391</v>
      </c>
      <c r="E6" s="4" t="s">
        <v>99</v>
      </c>
      <c r="F6" s="22">
        <v>500012</v>
      </c>
      <c r="G6" s="23" t="s">
        <v>29</v>
      </c>
      <c r="H6" s="23" t="s">
        <v>23</v>
      </c>
      <c r="I6" s="7">
        <v>1</v>
      </c>
      <c r="J6" s="7">
        <v>20</v>
      </c>
      <c r="K6" s="7"/>
      <c r="L6" s="19"/>
      <c r="M6" s="7">
        <v>6100</v>
      </c>
      <c r="N6" s="8">
        <f t="shared" ref="N6:N8" si="1">IF(J6&lt;=0.5, 45,
   IF(J6&lt;=1, 50,
   IF(J6&lt;=1.5, 77,
   IF(J6&lt;=2, 92,
   IF(J6&lt;=10, 282, 420)))))</f>
        <v>420</v>
      </c>
      <c r="O6" s="6" t="s">
        <v>100</v>
      </c>
    </row>
    <row r="7" spans="1:15" ht="90" x14ac:dyDescent="0.25">
      <c r="A7" s="5"/>
      <c r="B7" s="12">
        <v>2</v>
      </c>
      <c r="C7" s="20" t="s">
        <v>101</v>
      </c>
      <c r="D7" s="9" t="s">
        <v>102</v>
      </c>
      <c r="E7" s="10" t="s">
        <v>103</v>
      </c>
      <c r="F7" s="20">
        <v>636701</v>
      </c>
      <c r="G7" s="21" t="s">
        <v>104</v>
      </c>
      <c r="H7" s="21" t="s">
        <v>33</v>
      </c>
      <c r="I7" s="12">
        <v>1</v>
      </c>
      <c r="J7" s="12">
        <v>20</v>
      </c>
      <c r="K7" s="12"/>
      <c r="L7" s="13" t="s">
        <v>39</v>
      </c>
      <c r="M7" s="12">
        <v>7000</v>
      </c>
      <c r="N7" s="11">
        <v>720</v>
      </c>
      <c r="O7" s="9" t="s">
        <v>105</v>
      </c>
    </row>
    <row r="8" spans="1:15" ht="105" x14ac:dyDescent="0.25">
      <c r="A8" s="5"/>
      <c r="B8" s="7">
        <v>3</v>
      </c>
      <c r="C8" s="22" t="s">
        <v>106</v>
      </c>
      <c r="D8" s="6">
        <v>9441279937</v>
      </c>
      <c r="E8" s="4" t="s">
        <v>107</v>
      </c>
      <c r="F8" s="22">
        <v>520001</v>
      </c>
      <c r="G8" s="23" t="s">
        <v>34</v>
      </c>
      <c r="H8" s="23" t="s">
        <v>31</v>
      </c>
      <c r="I8" s="7">
        <v>1</v>
      </c>
      <c r="J8" s="7">
        <v>20</v>
      </c>
      <c r="K8" s="7"/>
      <c r="L8" s="19"/>
      <c r="M8" s="7">
        <v>6100</v>
      </c>
      <c r="N8" s="8">
        <f t="shared" si="1"/>
        <v>420</v>
      </c>
      <c r="O8" s="6" t="s">
        <v>105</v>
      </c>
    </row>
    <row r="9" spans="1:15" ht="105" x14ac:dyDescent="0.25">
      <c r="A9" s="5"/>
      <c r="B9" s="12">
        <v>4</v>
      </c>
      <c r="C9" s="20" t="s">
        <v>108</v>
      </c>
      <c r="D9" s="9">
        <v>7003881951</v>
      </c>
      <c r="E9" s="10" t="s">
        <v>109</v>
      </c>
      <c r="F9" s="20">
        <v>731204</v>
      </c>
      <c r="G9" s="21" t="s">
        <v>110</v>
      </c>
      <c r="H9" s="21" t="s">
        <v>16</v>
      </c>
      <c r="I9" s="12">
        <v>1</v>
      </c>
      <c r="J9" s="12">
        <v>21</v>
      </c>
      <c r="K9" s="12"/>
      <c r="L9" s="13" t="s">
        <v>39</v>
      </c>
      <c r="M9" s="12">
        <v>6900</v>
      </c>
      <c r="N9" s="11">
        <v>741</v>
      </c>
      <c r="O9" s="9" t="s">
        <v>43</v>
      </c>
    </row>
    <row r="10" spans="1:15" ht="90" x14ac:dyDescent="0.25">
      <c r="A10" s="5"/>
      <c r="B10" s="12">
        <v>5</v>
      </c>
      <c r="C10" s="20" t="s">
        <v>111</v>
      </c>
      <c r="D10" s="9" t="s">
        <v>112</v>
      </c>
      <c r="E10" s="10" t="s">
        <v>113</v>
      </c>
      <c r="F10" s="20">
        <v>413736</v>
      </c>
      <c r="G10" s="21" t="s">
        <v>114</v>
      </c>
      <c r="H10" s="21" t="s">
        <v>28</v>
      </c>
      <c r="I10" s="12">
        <v>2</v>
      </c>
      <c r="J10" s="12">
        <v>19</v>
      </c>
      <c r="K10" s="12" t="s">
        <v>25</v>
      </c>
      <c r="L10" s="13" t="s">
        <v>39</v>
      </c>
      <c r="M10" s="12">
        <v>9999</v>
      </c>
      <c r="N10" s="11">
        <v>720</v>
      </c>
      <c r="O10" s="9" t="s">
        <v>73</v>
      </c>
    </row>
    <row r="11" spans="1:15" x14ac:dyDescent="0.25">
      <c r="A11" s="5"/>
      <c r="B11" s="2" t="s">
        <v>0</v>
      </c>
      <c r="C11" s="2" t="s">
        <v>1</v>
      </c>
      <c r="D11" s="2" t="s">
        <v>2</v>
      </c>
      <c r="E11" s="3" t="s">
        <v>3</v>
      </c>
      <c r="F11" s="2" t="s">
        <v>4</v>
      </c>
      <c r="G11" s="2" t="s">
        <v>5</v>
      </c>
      <c r="H11" s="2" t="s">
        <v>6</v>
      </c>
      <c r="I11" s="2" t="s">
        <v>7</v>
      </c>
      <c r="J11" s="2" t="s">
        <v>8</v>
      </c>
      <c r="K11" s="2" t="s">
        <v>9</v>
      </c>
      <c r="L11" s="2" t="s">
        <v>10</v>
      </c>
      <c r="M11" s="2" t="s">
        <v>14</v>
      </c>
      <c r="N11" s="2" t="s">
        <v>11</v>
      </c>
      <c r="O11" s="2" t="s">
        <v>12</v>
      </c>
    </row>
    <row r="12" spans="1:15" ht="135" x14ac:dyDescent="0.25">
      <c r="A12" s="5" t="s">
        <v>132</v>
      </c>
      <c r="B12" s="7">
        <v>1</v>
      </c>
      <c r="C12" s="22" t="s">
        <v>115</v>
      </c>
      <c r="D12" s="6">
        <v>9912773971</v>
      </c>
      <c r="E12" s="4" t="s">
        <v>116</v>
      </c>
      <c r="F12" s="22">
        <v>530048</v>
      </c>
      <c r="G12" s="23" t="s">
        <v>117</v>
      </c>
      <c r="H12" s="23" t="s">
        <v>31</v>
      </c>
      <c r="I12" s="7">
        <v>1</v>
      </c>
      <c r="J12" s="7">
        <v>10</v>
      </c>
      <c r="K12" s="7"/>
      <c r="L12" s="19"/>
      <c r="M12" s="7">
        <v>3100</v>
      </c>
      <c r="N12" s="8">
        <f t="shared" ref="N12:N16" si="2">IF(J12&lt;=0.5, 45,
   IF(J12&lt;=1, 50,
   IF(J12&lt;=1.5, 77,
   IF(J12&lt;=2, 92,
   IF(J12&lt;=10, 282, 420)))))</f>
        <v>282</v>
      </c>
      <c r="O12" s="6" t="s">
        <v>15</v>
      </c>
    </row>
    <row r="13" spans="1:15" ht="75" x14ac:dyDescent="0.25">
      <c r="A13" s="5"/>
      <c r="B13" s="7">
        <v>2</v>
      </c>
      <c r="C13" s="22" t="s">
        <v>118</v>
      </c>
      <c r="D13" s="6">
        <v>8093065078</v>
      </c>
      <c r="E13" s="4" t="s">
        <v>119</v>
      </c>
      <c r="F13" s="22">
        <v>759122</v>
      </c>
      <c r="G13" s="23" t="s">
        <v>63</v>
      </c>
      <c r="H13" s="23" t="s">
        <v>50</v>
      </c>
      <c r="I13" s="7">
        <v>2</v>
      </c>
      <c r="J13" s="7">
        <v>42</v>
      </c>
      <c r="K13" s="7"/>
      <c r="L13" s="19"/>
      <c r="M13" s="7">
        <v>14200</v>
      </c>
      <c r="N13" s="8">
        <v>882</v>
      </c>
      <c r="O13" s="6" t="s">
        <v>120</v>
      </c>
    </row>
    <row r="14" spans="1:15" ht="90" x14ac:dyDescent="0.25">
      <c r="A14" s="5"/>
      <c r="B14" s="7">
        <v>3</v>
      </c>
      <c r="C14" s="22" t="s">
        <v>121</v>
      </c>
      <c r="D14" s="6">
        <v>9921838159</v>
      </c>
      <c r="E14" s="4" t="s">
        <v>122</v>
      </c>
      <c r="F14" s="22">
        <v>411023</v>
      </c>
      <c r="G14" s="23" t="s">
        <v>77</v>
      </c>
      <c r="H14" s="23" t="s">
        <v>18</v>
      </c>
      <c r="I14" s="7">
        <v>1</v>
      </c>
      <c r="J14" s="7">
        <v>20</v>
      </c>
      <c r="K14" s="7"/>
      <c r="L14" s="19"/>
      <c r="M14" s="7">
        <v>6100</v>
      </c>
      <c r="N14" s="8">
        <f t="shared" si="2"/>
        <v>420</v>
      </c>
      <c r="O14" s="6" t="s">
        <v>41</v>
      </c>
    </row>
    <row r="15" spans="1:15" ht="90" x14ac:dyDescent="0.25">
      <c r="A15" s="5"/>
      <c r="B15" s="7">
        <v>4</v>
      </c>
      <c r="C15" s="22" t="s">
        <v>123</v>
      </c>
      <c r="D15" s="6">
        <v>9930400455</v>
      </c>
      <c r="E15" s="4" t="s">
        <v>124</v>
      </c>
      <c r="F15" s="22">
        <v>421301</v>
      </c>
      <c r="G15" s="23" t="s">
        <v>125</v>
      </c>
      <c r="H15" s="23" t="s">
        <v>18</v>
      </c>
      <c r="I15" s="7">
        <v>1</v>
      </c>
      <c r="J15" s="7">
        <v>1</v>
      </c>
      <c r="K15" s="7"/>
      <c r="L15" s="19"/>
      <c r="M15" s="7">
        <v>220</v>
      </c>
      <c r="N15" s="8">
        <f t="shared" si="2"/>
        <v>50</v>
      </c>
      <c r="O15" s="6" t="s">
        <v>41</v>
      </c>
    </row>
    <row r="16" spans="1:15" ht="120" x14ac:dyDescent="0.25">
      <c r="A16" s="5"/>
      <c r="B16" s="7">
        <v>5</v>
      </c>
      <c r="C16" s="22" t="s">
        <v>126</v>
      </c>
      <c r="D16" s="6">
        <v>8800310428</v>
      </c>
      <c r="E16" s="4" t="s">
        <v>127</v>
      </c>
      <c r="F16" s="22">
        <v>411044</v>
      </c>
      <c r="G16" s="23" t="s">
        <v>77</v>
      </c>
      <c r="H16" s="23" t="s">
        <v>18</v>
      </c>
      <c r="I16" s="7">
        <v>1</v>
      </c>
      <c r="J16" s="7">
        <v>1</v>
      </c>
      <c r="K16" s="7"/>
      <c r="L16" s="19"/>
      <c r="M16" s="7">
        <v>1400</v>
      </c>
      <c r="N16" s="8">
        <f t="shared" si="2"/>
        <v>50</v>
      </c>
      <c r="O16" s="6" t="s">
        <v>41</v>
      </c>
    </row>
    <row r="17" spans="1:15" s="25" customFormat="1" ht="90" x14ac:dyDescent="0.25">
      <c r="A17" s="24"/>
      <c r="B17" s="12">
        <v>6</v>
      </c>
      <c r="C17" s="20" t="s">
        <v>128</v>
      </c>
      <c r="D17" s="9" t="s">
        <v>129</v>
      </c>
      <c r="E17" s="10" t="s">
        <v>130</v>
      </c>
      <c r="F17" s="20">
        <v>143705</v>
      </c>
      <c r="G17" s="21" t="s">
        <v>131</v>
      </c>
      <c r="H17" s="21" t="s">
        <v>28</v>
      </c>
      <c r="I17" s="12">
        <v>3</v>
      </c>
      <c r="J17" s="12">
        <v>47</v>
      </c>
      <c r="K17" s="12" t="s">
        <v>25</v>
      </c>
      <c r="L17" s="13" t="s">
        <v>39</v>
      </c>
      <c r="M17" s="12">
        <v>28000</v>
      </c>
      <c r="N17" s="11">
        <v>1287</v>
      </c>
      <c r="O17" s="9" t="s">
        <v>73</v>
      </c>
    </row>
    <row r="18" spans="1:15" x14ac:dyDescent="0.25">
      <c r="A18" s="5"/>
      <c r="B18" s="2" t="s">
        <v>0</v>
      </c>
      <c r="C18" s="2" t="s">
        <v>1</v>
      </c>
      <c r="D18" s="2" t="s">
        <v>2</v>
      </c>
      <c r="E18" s="3" t="s">
        <v>3</v>
      </c>
      <c r="F18" s="2" t="s">
        <v>4</v>
      </c>
      <c r="G18" s="2" t="s">
        <v>5</v>
      </c>
      <c r="H18" s="2" t="s">
        <v>6</v>
      </c>
      <c r="I18" s="2" t="s">
        <v>7</v>
      </c>
      <c r="J18" s="2" t="s">
        <v>8</v>
      </c>
      <c r="K18" s="2" t="s">
        <v>9</v>
      </c>
      <c r="L18" s="2" t="s">
        <v>10</v>
      </c>
      <c r="M18" s="2" t="s">
        <v>14</v>
      </c>
      <c r="N18" s="2" t="s">
        <v>11</v>
      </c>
      <c r="O18" s="2" t="s">
        <v>12</v>
      </c>
    </row>
    <row r="19" spans="1:15" ht="60" x14ac:dyDescent="0.25">
      <c r="A19" s="5" t="s">
        <v>133</v>
      </c>
      <c r="B19" s="12">
        <v>1</v>
      </c>
      <c r="C19" s="20" t="s">
        <v>134</v>
      </c>
      <c r="D19" s="9">
        <v>8806603212</v>
      </c>
      <c r="E19" s="10" t="s">
        <v>135</v>
      </c>
      <c r="F19" s="20">
        <v>425201</v>
      </c>
      <c r="G19" s="21" t="s">
        <v>136</v>
      </c>
      <c r="H19" s="21" t="s">
        <v>18</v>
      </c>
      <c r="I19" s="12">
        <v>1</v>
      </c>
      <c r="J19" s="12">
        <v>20</v>
      </c>
      <c r="K19" s="12"/>
      <c r="L19" s="13" t="s">
        <v>39</v>
      </c>
      <c r="M19" s="12">
        <v>6100</v>
      </c>
      <c r="N19" s="11">
        <v>720</v>
      </c>
      <c r="O19" s="9" t="s">
        <v>20</v>
      </c>
    </row>
    <row r="20" spans="1:15" ht="75" x14ac:dyDescent="0.25">
      <c r="A20" s="5"/>
      <c r="B20" s="12">
        <v>2</v>
      </c>
      <c r="C20" s="20" t="s">
        <v>137</v>
      </c>
      <c r="D20" s="9">
        <v>826010966</v>
      </c>
      <c r="E20" s="10" t="s">
        <v>138</v>
      </c>
      <c r="F20" s="20">
        <v>762103</v>
      </c>
      <c r="G20" s="21" t="s">
        <v>139</v>
      </c>
      <c r="H20" s="21" t="s">
        <v>50</v>
      </c>
      <c r="I20" s="12">
        <v>1</v>
      </c>
      <c r="J20" s="12">
        <v>21</v>
      </c>
      <c r="K20" s="12"/>
      <c r="L20" s="13" t="s">
        <v>39</v>
      </c>
      <c r="M20" s="12">
        <v>7100</v>
      </c>
      <c r="N20" s="11">
        <v>741</v>
      </c>
      <c r="O20" s="9" t="s">
        <v>20</v>
      </c>
    </row>
    <row r="21" spans="1:15" ht="105" x14ac:dyDescent="0.25">
      <c r="A21" s="5"/>
      <c r="B21" s="7">
        <v>3</v>
      </c>
      <c r="C21" s="22" t="s">
        <v>140</v>
      </c>
      <c r="D21" s="6">
        <v>7077019335</v>
      </c>
      <c r="E21" s="4" t="s">
        <v>141</v>
      </c>
      <c r="F21" s="22">
        <v>500019</v>
      </c>
      <c r="G21" s="23" t="s">
        <v>29</v>
      </c>
      <c r="H21" s="23" t="s">
        <v>23</v>
      </c>
      <c r="I21" s="7">
        <v>1</v>
      </c>
      <c r="J21" s="7">
        <v>21</v>
      </c>
      <c r="K21" s="7"/>
      <c r="L21" s="19"/>
      <c r="M21" s="7">
        <v>7100</v>
      </c>
      <c r="N21" s="8">
        <v>441</v>
      </c>
      <c r="O21" s="6" t="s">
        <v>20</v>
      </c>
    </row>
    <row r="22" spans="1:15" ht="120" x14ac:dyDescent="0.25">
      <c r="A22" s="5"/>
      <c r="B22" s="7">
        <v>4</v>
      </c>
      <c r="C22" s="22" t="s">
        <v>142</v>
      </c>
      <c r="D22" s="6">
        <v>8287681215</v>
      </c>
      <c r="E22" s="4" t="s">
        <v>143</v>
      </c>
      <c r="F22" s="22">
        <v>502032</v>
      </c>
      <c r="G22" s="23" t="s">
        <v>29</v>
      </c>
      <c r="H22" s="23" t="s">
        <v>23</v>
      </c>
      <c r="I22" s="7">
        <v>1</v>
      </c>
      <c r="J22" s="7">
        <v>20</v>
      </c>
      <c r="K22" s="7"/>
      <c r="L22" s="19"/>
      <c r="M22" s="7">
        <v>6900</v>
      </c>
      <c r="N22" s="8">
        <f t="shared" ref="N22:N28" si="3">IF(J22&lt;=0.5, 45,
   IF(J22&lt;=1, 50,
   IF(J22&lt;=1.5, 77,
   IF(J22&lt;=2, 92,
   IF(J22&lt;=10, 282, 420)))))</f>
        <v>420</v>
      </c>
      <c r="O22" s="6" t="s">
        <v>20</v>
      </c>
    </row>
    <row r="23" spans="1:15" ht="45" x14ac:dyDescent="0.25">
      <c r="A23" s="5"/>
      <c r="B23" s="7">
        <v>5</v>
      </c>
      <c r="C23" s="22" t="s">
        <v>144</v>
      </c>
      <c r="D23" s="6">
        <v>9827034742</v>
      </c>
      <c r="E23" s="4" t="s">
        <v>145</v>
      </c>
      <c r="F23" s="22">
        <v>764045</v>
      </c>
      <c r="G23" s="23" t="s">
        <v>146</v>
      </c>
      <c r="H23" s="23" t="s">
        <v>50</v>
      </c>
      <c r="I23" s="7">
        <v>1</v>
      </c>
      <c r="J23" s="7">
        <v>21</v>
      </c>
      <c r="K23" s="7"/>
      <c r="L23" s="19"/>
      <c r="M23" s="7">
        <v>7100</v>
      </c>
      <c r="N23" s="8">
        <v>441</v>
      </c>
      <c r="O23" s="6" t="s">
        <v>20</v>
      </c>
    </row>
    <row r="24" spans="1:15" ht="60" x14ac:dyDescent="0.25">
      <c r="A24" s="5"/>
      <c r="B24" s="7">
        <v>6</v>
      </c>
      <c r="C24" s="22" t="s">
        <v>147</v>
      </c>
      <c r="D24" s="6">
        <v>7082448831</v>
      </c>
      <c r="E24" s="4" t="s">
        <v>148</v>
      </c>
      <c r="F24" s="22">
        <v>133001</v>
      </c>
      <c r="G24" s="23" t="s">
        <v>149</v>
      </c>
      <c r="H24" s="23" t="s">
        <v>62</v>
      </c>
      <c r="I24" s="7">
        <v>1</v>
      </c>
      <c r="J24" s="7">
        <v>21</v>
      </c>
      <c r="K24" s="7"/>
      <c r="L24" s="19"/>
      <c r="M24" s="7">
        <v>8000</v>
      </c>
      <c r="N24" s="8">
        <v>441</v>
      </c>
      <c r="O24" s="6" t="s">
        <v>20</v>
      </c>
    </row>
    <row r="25" spans="1:15" ht="120" x14ac:dyDescent="0.25">
      <c r="A25" s="5"/>
      <c r="B25" s="12">
        <v>7</v>
      </c>
      <c r="C25" s="20" t="s">
        <v>150</v>
      </c>
      <c r="D25" s="9">
        <v>7003881951</v>
      </c>
      <c r="E25" s="10" t="s">
        <v>151</v>
      </c>
      <c r="F25" s="20">
        <v>731204</v>
      </c>
      <c r="G25" s="21" t="s">
        <v>152</v>
      </c>
      <c r="H25" s="21" t="s">
        <v>16</v>
      </c>
      <c r="I25" s="12">
        <v>1</v>
      </c>
      <c r="J25" s="12">
        <v>21</v>
      </c>
      <c r="K25" s="12"/>
      <c r="L25" s="13" t="s">
        <v>39</v>
      </c>
      <c r="M25" s="12">
        <v>6900</v>
      </c>
      <c r="N25" s="11">
        <v>741</v>
      </c>
      <c r="O25" s="9" t="s">
        <v>153</v>
      </c>
    </row>
    <row r="26" spans="1:15" ht="45" x14ac:dyDescent="0.25">
      <c r="A26" s="5"/>
      <c r="B26" s="7">
        <v>8</v>
      </c>
      <c r="C26" s="22" t="s">
        <v>154</v>
      </c>
      <c r="D26" s="6" t="s">
        <v>155</v>
      </c>
      <c r="E26" s="4" t="s">
        <v>156</v>
      </c>
      <c r="F26" s="22">
        <v>453331</v>
      </c>
      <c r="G26" s="23" t="s">
        <v>58</v>
      </c>
      <c r="H26" s="23" t="s">
        <v>19</v>
      </c>
      <c r="I26" s="7">
        <v>2</v>
      </c>
      <c r="J26" s="7">
        <v>42</v>
      </c>
      <c r="K26" s="7"/>
      <c r="L26" s="19"/>
      <c r="M26" s="7">
        <v>16000</v>
      </c>
      <c r="N26" s="8">
        <v>882</v>
      </c>
      <c r="O26" s="6" t="s">
        <v>105</v>
      </c>
    </row>
    <row r="27" spans="1:15" ht="45" x14ac:dyDescent="0.25">
      <c r="A27" s="5"/>
      <c r="B27" s="12">
        <v>9</v>
      </c>
      <c r="C27" s="20" t="s">
        <v>35</v>
      </c>
      <c r="D27" s="9">
        <v>7033035154</v>
      </c>
      <c r="E27" s="10" t="s">
        <v>157</v>
      </c>
      <c r="F27" s="20">
        <v>854328</v>
      </c>
      <c r="G27" s="21" t="s">
        <v>158</v>
      </c>
      <c r="H27" s="21" t="s">
        <v>36</v>
      </c>
      <c r="I27" s="12">
        <v>2</v>
      </c>
      <c r="J27" s="12">
        <v>14</v>
      </c>
      <c r="K27" s="12"/>
      <c r="L27" s="13" t="s">
        <v>39</v>
      </c>
      <c r="M27" s="12">
        <v>5300</v>
      </c>
      <c r="N27" s="11">
        <v>720</v>
      </c>
      <c r="O27" s="9" t="s">
        <v>15</v>
      </c>
    </row>
    <row r="28" spans="1:15" ht="105" x14ac:dyDescent="0.25">
      <c r="A28" s="5"/>
      <c r="B28" s="7">
        <v>10</v>
      </c>
      <c r="C28" s="22" t="s">
        <v>159</v>
      </c>
      <c r="D28" s="6">
        <v>8390501373</v>
      </c>
      <c r="E28" s="4" t="s">
        <v>160</v>
      </c>
      <c r="F28" s="22">
        <v>411014</v>
      </c>
      <c r="G28" s="23" t="s">
        <v>72</v>
      </c>
      <c r="H28" s="23" t="s">
        <v>18</v>
      </c>
      <c r="I28" s="7">
        <v>1</v>
      </c>
      <c r="J28" s="7">
        <v>20</v>
      </c>
      <c r="K28" s="7"/>
      <c r="L28" s="19"/>
      <c r="M28" s="7">
        <v>6100</v>
      </c>
      <c r="N28" s="8">
        <f t="shared" si="3"/>
        <v>420</v>
      </c>
      <c r="O28" s="6" t="s">
        <v>161</v>
      </c>
    </row>
    <row r="29" spans="1:15" ht="45" x14ac:dyDescent="0.25">
      <c r="A29" s="5"/>
      <c r="B29" s="7">
        <v>11</v>
      </c>
      <c r="C29" s="22" t="s">
        <v>162</v>
      </c>
      <c r="D29" s="6" t="s">
        <v>163</v>
      </c>
      <c r="E29" s="4" t="s">
        <v>164</v>
      </c>
      <c r="F29" s="22">
        <v>515001</v>
      </c>
      <c r="G29" s="23" t="s">
        <v>165</v>
      </c>
      <c r="H29" s="23" t="s">
        <v>24</v>
      </c>
      <c r="I29" s="7">
        <v>1</v>
      </c>
      <c r="J29" s="7">
        <v>16.5</v>
      </c>
      <c r="K29" s="7" t="s">
        <v>25</v>
      </c>
      <c r="L29" s="19"/>
      <c r="M29" s="7">
        <v>9999</v>
      </c>
      <c r="N29" s="8">
        <v>420</v>
      </c>
      <c r="O29" s="6" t="s">
        <v>73</v>
      </c>
    </row>
    <row r="30" spans="1:15" ht="90" x14ac:dyDescent="0.25">
      <c r="A30" s="5"/>
      <c r="B30" s="7">
        <v>12</v>
      </c>
      <c r="C30" s="22" t="s">
        <v>166</v>
      </c>
      <c r="D30" s="6" t="s">
        <v>167</v>
      </c>
      <c r="E30" s="4" t="s">
        <v>168</v>
      </c>
      <c r="F30" s="22">
        <v>110035</v>
      </c>
      <c r="G30" s="23" t="s">
        <v>37</v>
      </c>
      <c r="H30" s="23" t="s">
        <v>37</v>
      </c>
      <c r="I30" s="7">
        <v>2</v>
      </c>
      <c r="J30" s="7">
        <v>29.5</v>
      </c>
      <c r="K30" s="7" t="s">
        <v>30</v>
      </c>
      <c r="L30" s="19"/>
      <c r="M30" s="7">
        <v>20000</v>
      </c>
      <c r="N30" s="8">
        <v>619.5</v>
      </c>
      <c r="O30" s="6" t="s">
        <v>73</v>
      </c>
    </row>
    <row r="31" spans="1:15" ht="90" x14ac:dyDescent="0.25">
      <c r="A31" s="5"/>
      <c r="B31" s="7">
        <v>13</v>
      </c>
      <c r="C31" s="22" t="s">
        <v>169</v>
      </c>
      <c r="D31" s="6" t="s">
        <v>170</v>
      </c>
      <c r="E31" s="4" t="s">
        <v>171</v>
      </c>
      <c r="F31" s="22">
        <v>141003</v>
      </c>
      <c r="G31" s="23" t="s">
        <v>172</v>
      </c>
      <c r="H31" s="23" t="s">
        <v>173</v>
      </c>
      <c r="I31" s="7">
        <v>2</v>
      </c>
      <c r="J31" s="7">
        <v>30</v>
      </c>
      <c r="K31" s="7" t="s">
        <v>74</v>
      </c>
      <c r="L31" s="19"/>
      <c r="M31" s="7">
        <v>22000</v>
      </c>
      <c r="N31" s="8">
        <v>630</v>
      </c>
      <c r="O31" s="6" t="s">
        <v>73</v>
      </c>
    </row>
    <row r="32" spans="1:15" ht="120" x14ac:dyDescent="0.25">
      <c r="A32" s="5"/>
      <c r="B32" s="7">
        <v>14</v>
      </c>
      <c r="C32" s="22" t="s">
        <v>174</v>
      </c>
      <c r="D32" s="6" t="s">
        <v>175</v>
      </c>
      <c r="E32" s="4" t="s">
        <v>176</v>
      </c>
      <c r="F32" s="22">
        <v>560094</v>
      </c>
      <c r="G32" s="23" t="s">
        <v>78</v>
      </c>
      <c r="H32" s="23" t="s">
        <v>79</v>
      </c>
      <c r="I32" s="7">
        <v>1</v>
      </c>
      <c r="J32" s="7">
        <v>9.5</v>
      </c>
      <c r="K32" s="7" t="s">
        <v>75</v>
      </c>
      <c r="L32" s="19"/>
      <c r="M32" s="7">
        <v>12000</v>
      </c>
      <c r="N32" s="8">
        <v>282</v>
      </c>
      <c r="O32" s="6" t="s">
        <v>73</v>
      </c>
    </row>
    <row r="33" spans="1:15" ht="90" x14ac:dyDescent="0.25">
      <c r="A33" s="5"/>
      <c r="B33" s="7">
        <v>15</v>
      </c>
      <c r="C33" s="22" t="s">
        <v>177</v>
      </c>
      <c r="D33" s="6" t="s">
        <v>170</v>
      </c>
      <c r="E33" s="4" t="s">
        <v>178</v>
      </c>
      <c r="F33" s="22">
        <v>141003</v>
      </c>
      <c r="G33" s="23" t="s">
        <v>172</v>
      </c>
      <c r="H33" s="23" t="s">
        <v>173</v>
      </c>
      <c r="I33" s="7">
        <v>1</v>
      </c>
      <c r="J33" s="7">
        <v>6</v>
      </c>
      <c r="K33" s="7" t="s">
        <v>76</v>
      </c>
      <c r="L33" s="19"/>
      <c r="M33" s="7">
        <v>11000</v>
      </c>
      <c r="N33" s="8">
        <v>282</v>
      </c>
      <c r="O33" s="6" t="s">
        <v>73</v>
      </c>
    </row>
    <row r="34" spans="1:15" x14ac:dyDescent="0.25">
      <c r="A34" s="5"/>
      <c r="B34" s="2" t="s">
        <v>0</v>
      </c>
      <c r="C34" s="2" t="s">
        <v>1</v>
      </c>
      <c r="D34" s="2" t="s">
        <v>2</v>
      </c>
      <c r="E34" s="3" t="s">
        <v>3</v>
      </c>
      <c r="F34" s="2" t="s">
        <v>4</v>
      </c>
      <c r="G34" s="2" t="s">
        <v>5</v>
      </c>
      <c r="H34" s="2" t="s">
        <v>6</v>
      </c>
      <c r="I34" s="2" t="s">
        <v>7</v>
      </c>
      <c r="J34" s="2" t="s">
        <v>8</v>
      </c>
      <c r="K34" s="2" t="s">
        <v>9</v>
      </c>
      <c r="L34" s="2" t="s">
        <v>10</v>
      </c>
      <c r="M34" s="2" t="s">
        <v>14</v>
      </c>
      <c r="N34" s="2" t="s">
        <v>11</v>
      </c>
      <c r="O34" s="2" t="s">
        <v>12</v>
      </c>
    </row>
    <row r="35" spans="1:15" ht="45" x14ac:dyDescent="0.25">
      <c r="A35" s="5" t="s">
        <v>179</v>
      </c>
      <c r="B35" s="12">
        <v>1</v>
      </c>
      <c r="C35" s="20" t="s">
        <v>180</v>
      </c>
      <c r="D35" s="9">
        <v>9437134457</v>
      </c>
      <c r="E35" s="10" t="s">
        <v>181</v>
      </c>
      <c r="F35" s="20">
        <v>752069</v>
      </c>
      <c r="G35" s="21" t="s">
        <v>182</v>
      </c>
      <c r="H35" s="21" t="s">
        <v>50</v>
      </c>
      <c r="I35" s="12">
        <v>2</v>
      </c>
      <c r="J35" s="12">
        <v>42</v>
      </c>
      <c r="K35" s="12"/>
      <c r="L35" s="13" t="s">
        <v>39</v>
      </c>
      <c r="M35" s="12">
        <v>14200</v>
      </c>
      <c r="N35" s="12">
        <v>1182</v>
      </c>
      <c r="O35" s="9" t="s">
        <v>105</v>
      </c>
    </row>
    <row r="36" spans="1:15" ht="105" x14ac:dyDescent="0.25">
      <c r="A36" s="5"/>
      <c r="B36" s="7">
        <v>2</v>
      </c>
      <c r="C36" s="22" t="s">
        <v>183</v>
      </c>
      <c r="D36" s="6" t="s">
        <v>184</v>
      </c>
      <c r="E36" s="4" t="s">
        <v>185</v>
      </c>
      <c r="F36" s="22">
        <v>482002</v>
      </c>
      <c r="G36" s="23" t="s">
        <v>186</v>
      </c>
      <c r="H36" s="23" t="s">
        <v>19</v>
      </c>
      <c r="I36" s="7">
        <v>1</v>
      </c>
      <c r="J36" s="7">
        <v>21</v>
      </c>
      <c r="K36" s="7"/>
      <c r="L36" s="19"/>
      <c r="M36" s="7">
        <v>6900</v>
      </c>
      <c r="N36" s="7">
        <v>441</v>
      </c>
      <c r="O36" s="6" t="s">
        <v>187</v>
      </c>
    </row>
    <row r="37" spans="1:15" ht="60" x14ac:dyDescent="0.25">
      <c r="A37" s="5"/>
      <c r="B37" s="7">
        <v>3</v>
      </c>
      <c r="C37" s="22" t="s">
        <v>188</v>
      </c>
      <c r="D37" s="6">
        <v>9866212176</v>
      </c>
      <c r="E37" s="4" t="s">
        <v>189</v>
      </c>
      <c r="F37" s="22">
        <v>500059</v>
      </c>
      <c r="G37" s="23" t="s">
        <v>29</v>
      </c>
      <c r="H37" s="23" t="s">
        <v>23</v>
      </c>
      <c r="I37" s="7">
        <v>1</v>
      </c>
      <c r="J37" s="7">
        <v>20</v>
      </c>
      <c r="K37" s="7"/>
      <c r="L37" s="19"/>
      <c r="M37" s="7">
        <v>6100</v>
      </c>
      <c r="N37" s="7">
        <f t="shared" ref="N37" si="4">IF(J37&lt;=0.5, 45,
   IF(J37&lt;=1, 50,
   IF(J37&lt;=1.5, 77,
   IF(J37&lt;=2, 92,
   IF(J37&lt;=10, 282, 420)))))</f>
        <v>420</v>
      </c>
      <c r="O37" s="6" t="s">
        <v>190</v>
      </c>
    </row>
    <row r="38" spans="1:15" x14ac:dyDescent="0.25">
      <c r="A38" s="5"/>
      <c r="B38" s="2" t="s">
        <v>0</v>
      </c>
      <c r="C38" s="2" t="s">
        <v>1</v>
      </c>
      <c r="D38" s="2" t="s">
        <v>2</v>
      </c>
      <c r="E38" s="3" t="s">
        <v>3</v>
      </c>
      <c r="F38" s="2" t="s">
        <v>4</v>
      </c>
      <c r="G38" s="2" t="s">
        <v>5</v>
      </c>
      <c r="H38" s="2" t="s">
        <v>6</v>
      </c>
      <c r="I38" s="2" t="s">
        <v>7</v>
      </c>
      <c r="J38" s="2" t="s">
        <v>8</v>
      </c>
      <c r="K38" s="2" t="s">
        <v>9</v>
      </c>
      <c r="L38" s="2" t="s">
        <v>10</v>
      </c>
      <c r="M38" s="2" t="s">
        <v>14</v>
      </c>
      <c r="N38" s="2" t="s">
        <v>11</v>
      </c>
      <c r="O38" s="2" t="s">
        <v>12</v>
      </c>
    </row>
    <row r="39" spans="1:15" ht="90" x14ac:dyDescent="0.25">
      <c r="A39" s="5" t="s">
        <v>226</v>
      </c>
      <c r="B39" s="7">
        <v>1</v>
      </c>
      <c r="C39" s="22" t="s">
        <v>191</v>
      </c>
      <c r="D39" s="6">
        <v>9685482144</v>
      </c>
      <c r="E39" s="4" t="s">
        <v>192</v>
      </c>
      <c r="F39" s="22">
        <v>462022</v>
      </c>
      <c r="G39" s="23" t="s">
        <v>193</v>
      </c>
      <c r="H39" s="23" t="s">
        <v>19</v>
      </c>
      <c r="I39" s="7">
        <v>1</v>
      </c>
      <c r="J39" s="7">
        <v>20</v>
      </c>
      <c r="K39" s="7"/>
      <c r="L39" s="19"/>
      <c r="M39" s="7">
        <v>6900</v>
      </c>
      <c r="N39" s="7">
        <f t="shared" ref="N39:N47" si="5">IF(J39&lt;=0.5, 45,
   IF(J39&lt;=1, 50,
   IF(J39&lt;=1.5, 77,
   IF(J39&lt;=2, 92,
   IF(J39&lt;=10, 282, 420)))))</f>
        <v>420</v>
      </c>
      <c r="O39" s="6" t="s">
        <v>194</v>
      </c>
    </row>
    <row r="40" spans="1:15" ht="75" x14ac:dyDescent="0.25">
      <c r="A40" s="5"/>
      <c r="B40" s="7">
        <v>2</v>
      </c>
      <c r="C40" s="22" t="s">
        <v>195</v>
      </c>
      <c r="D40" s="6" t="s">
        <v>196</v>
      </c>
      <c r="E40" s="4" t="s">
        <v>197</v>
      </c>
      <c r="F40" s="22">
        <v>509001</v>
      </c>
      <c r="G40" s="23" t="s">
        <v>198</v>
      </c>
      <c r="H40" s="23" t="s">
        <v>23</v>
      </c>
      <c r="I40" s="7">
        <v>1</v>
      </c>
      <c r="J40" s="7">
        <v>20</v>
      </c>
      <c r="K40" s="7"/>
      <c r="L40" s="19"/>
      <c r="M40" s="7">
        <v>6100</v>
      </c>
      <c r="N40" s="7">
        <f t="shared" si="5"/>
        <v>420</v>
      </c>
      <c r="O40" s="6" t="s">
        <v>199</v>
      </c>
    </row>
    <row r="41" spans="1:15" ht="75" x14ac:dyDescent="0.25">
      <c r="A41" s="5"/>
      <c r="B41" s="7">
        <v>3</v>
      </c>
      <c r="C41" s="22" t="s">
        <v>200</v>
      </c>
      <c r="D41" s="6" t="s">
        <v>201</v>
      </c>
      <c r="E41" s="4" t="s">
        <v>202</v>
      </c>
      <c r="F41" s="22">
        <v>695011</v>
      </c>
      <c r="G41" s="23" t="s">
        <v>203</v>
      </c>
      <c r="H41" s="23" t="s">
        <v>42</v>
      </c>
      <c r="I41" s="7">
        <v>1</v>
      </c>
      <c r="J41" s="7">
        <v>25</v>
      </c>
      <c r="K41" s="7"/>
      <c r="L41" s="19"/>
      <c r="M41" s="7">
        <v>8500</v>
      </c>
      <c r="N41" s="7">
        <v>525</v>
      </c>
      <c r="O41" s="6" t="s">
        <v>199</v>
      </c>
    </row>
    <row r="42" spans="1:15" ht="180" x14ac:dyDescent="0.25">
      <c r="A42" s="5"/>
      <c r="B42" s="7">
        <v>4</v>
      </c>
      <c r="C42" s="22" t="s">
        <v>204</v>
      </c>
      <c r="D42" s="6">
        <v>8500121042</v>
      </c>
      <c r="E42" s="4" t="s">
        <v>205</v>
      </c>
      <c r="F42" s="22">
        <v>500018</v>
      </c>
      <c r="G42" s="23" t="s">
        <v>29</v>
      </c>
      <c r="H42" s="23" t="s">
        <v>23</v>
      </c>
      <c r="I42" s="7">
        <v>1</v>
      </c>
      <c r="J42" s="7">
        <v>21</v>
      </c>
      <c r="K42" s="7"/>
      <c r="L42" s="19"/>
      <c r="M42" s="7">
        <v>8000</v>
      </c>
      <c r="N42" s="7">
        <v>441</v>
      </c>
      <c r="O42" s="6" t="s">
        <v>206</v>
      </c>
    </row>
    <row r="43" spans="1:15" ht="75" x14ac:dyDescent="0.25">
      <c r="A43" s="5"/>
      <c r="B43" s="7">
        <v>5</v>
      </c>
      <c r="C43" s="22" t="s">
        <v>207</v>
      </c>
      <c r="D43" s="6">
        <v>8756591045</v>
      </c>
      <c r="E43" s="4" t="s">
        <v>208</v>
      </c>
      <c r="F43" s="22">
        <v>241001</v>
      </c>
      <c r="G43" s="23" t="s">
        <v>209</v>
      </c>
      <c r="H43" s="23" t="s">
        <v>60</v>
      </c>
      <c r="I43" s="7">
        <v>1</v>
      </c>
      <c r="J43" s="7">
        <v>20</v>
      </c>
      <c r="K43" s="7"/>
      <c r="L43" s="19"/>
      <c r="M43" s="7">
        <v>6900</v>
      </c>
      <c r="N43" s="7">
        <f t="shared" si="5"/>
        <v>420</v>
      </c>
      <c r="O43" s="6" t="s">
        <v>210</v>
      </c>
    </row>
    <row r="44" spans="1:15" ht="90" x14ac:dyDescent="0.25">
      <c r="A44" s="5"/>
      <c r="B44" s="7">
        <v>6</v>
      </c>
      <c r="C44" s="22" t="s">
        <v>211</v>
      </c>
      <c r="D44" s="6">
        <v>9890653871</v>
      </c>
      <c r="E44" s="4" t="s">
        <v>212</v>
      </c>
      <c r="F44" s="22">
        <v>500008</v>
      </c>
      <c r="G44" s="23" t="s">
        <v>29</v>
      </c>
      <c r="H44" s="23" t="s">
        <v>23</v>
      </c>
      <c r="I44" s="7">
        <v>1</v>
      </c>
      <c r="J44" s="7">
        <v>20</v>
      </c>
      <c r="K44" s="7"/>
      <c r="L44" s="19"/>
      <c r="M44" s="7">
        <v>6100</v>
      </c>
      <c r="N44" s="7">
        <f t="shared" si="5"/>
        <v>420</v>
      </c>
      <c r="O44" s="6" t="s">
        <v>213</v>
      </c>
    </row>
    <row r="45" spans="1:15" ht="120" x14ac:dyDescent="0.25">
      <c r="A45" s="5"/>
      <c r="B45" s="12">
        <v>7</v>
      </c>
      <c r="C45" s="20" t="s">
        <v>214</v>
      </c>
      <c r="D45" s="9">
        <v>9064529857</v>
      </c>
      <c r="E45" s="10" t="s">
        <v>215</v>
      </c>
      <c r="F45" s="20">
        <v>721301</v>
      </c>
      <c r="G45" s="21" t="s">
        <v>70</v>
      </c>
      <c r="H45" s="21" t="s">
        <v>16</v>
      </c>
      <c r="I45" s="12">
        <v>1</v>
      </c>
      <c r="J45" s="12">
        <v>21</v>
      </c>
      <c r="K45" s="12"/>
      <c r="L45" s="13" t="s">
        <v>39</v>
      </c>
      <c r="M45" s="12">
        <v>6900</v>
      </c>
      <c r="N45" s="12">
        <v>741</v>
      </c>
      <c r="O45" s="9" t="s">
        <v>153</v>
      </c>
    </row>
    <row r="46" spans="1:15" ht="75" x14ac:dyDescent="0.25">
      <c r="A46" s="5"/>
      <c r="B46" s="12">
        <v>8</v>
      </c>
      <c r="C46" s="20" t="s">
        <v>216</v>
      </c>
      <c r="D46" s="9">
        <v>9502604366</v>
      </c>
      <c r="E46" s="10" t="s">
        <v>217</v>
      </c>
      <c r="F46" s="20">
        <v>517501</v>
      </c>
      <c r="G46" s="21" t="s">
        <v>52</v>
      </c>
      <c r="H46" s="21" t="s">
        <v>31</v>
      </c>
      <c r="I46" s="12">
        <v>1</v>
      </c>
      <c r="J46" s="12">
        <v>20</v>
      </c>
      <c r="K46" s="12"/>
      <c r="L46" s="13" t="s">
        <v>39</v>
      </c>
      <c r="M46" s="12">
        <v>6100</v>
      </c>
      <c r="N46" s="12">
        <v>720</v>
      </c>
      <c r="O46" s="9" t="s">
        <v>153</v>
      </c>
    </row>
    <row r="47" spans="1:15" ht="60" x14ac:dyDescent="0.25">
      <c r="A47" s="5"/>
      <c r="B47" s="7">
        <v>9</v>
      </c>
      <c r="C47" s="22" t="s">
        <v>218</v>
      </c>
      <c r="D47" s="6" t="s">
        <v>219</v>
      </c>
      <c r="E47" s="4" t="s">
        <v>220</v>
      </c>
      <c r="F47" s="22">
        <v>492001</v>
      </c>
      <c r="G47" s="23" t="s">
        <v>44</v>
      </c>
      <c r="H47" s="23" t="s">
        <v>51</v>
      </c>
      <c r="I47" s="7">
        <v>1</v>
      </c>
      <c r="J47" s="7">
        <v>20</v>
      </c>
      <c r="K47" s="7"/>
      <c r="L47" s="19"/>
      <c r="M47" s="7">
        <v>6900</v>
      </c>
      <c r="N47" s="7">
        <f t="shared" si="5"/>
        <v>420</v>
      </c>
      <c r="O47" s="6" t="s">
        <v>221</v>
      </c>
    </row>
    <row r="48" spans="1:15" ht="105" x14ac:dyDescent="0.25">
      <c r="A48" s="5"/>
      <c r="B48" s="7">
        <v>10</v>
      </c>
      <c r="C48" s="22" t="s">
        <v>222</v>
      </c>
      <c r="D48" s="6">
        <v>9555755662</v>
      </c>
      <c r="E48" s="4" t="s">
        <v>223</v>
      </c>
      <c r="F48" s="22">
        <v>226008</v>
      </c>
      <c r="G48" s="23" t="s">
        <v>224</v>
      </c>
      <c r="H48" s="23" t="s">
        <v>225</v>
      </c>
      <c r="I48" s="7">
        <v>1</v>
      </c>
      <c r="J48" s="7">
        <v>21</v>
      </c>
      <c r="K48" s="7"/>
      <c r="L48" s="19"/>
      <c r="M48" s="7">
        <v>8000</v>
      </c>
      <c r="N48" s="7">
        <v>441</v>
      </c>
      <c r="O48" s="6" t="s">
        <v>41</v>
      </c>
    </row>
    <row r="49" spans="1:15" x14ac:dyDescent="0.25">
      <c r="A49" s="5"/>
      <c r="B49" s="2" t="s">
        <v>0</v>
      </c>
      <c r="C49" s="2" t="s">
        <v>1</v>
      </c>
      <c r="D49" s="2" t="s">
        <v>2</v>
      </c>
      <c r="E49" s="3" t="s">
        <v>3</v>
      </c>
      <c r="F49" s="2" t="s">
        <v>4</v>
      </c>
      <c r="G49" s="2" t="s">
        <v>5</v>
      </c>
      <c r="H49" s="2" t="s">
        <v>6</v>
      </c>
      <c r="I49" s="2" t="s">
        <v>7</v>
      </c>
      <c r="J49" s="2" t="s">
        <v>8</v>
      </c>
      <c r="K49" s="2" t="s">
        <v>9</v>
      </c>
      <c r="L49" s="2" t="s">
        <v>10</v>
      </c>
      <c r="M49" s="2" t="s">
        <v>14</v>
      </c>
      <c r="N49" s="2" t="s">
        <v>11</v>
      </c>
      <c r="O49" s="2" t="s">
        <v>12</v>
      </c>
    </row>
    <row r="50" spans="1:15" ht="120" x14ac:dyDescent="0.25">
      <c r="A50" s="5" t="s">
        <v>284</v>
      </c>
      <c r="B50" s="12">
        <v>1</v>
      </c>
      <c r="C50" s="20" t="s">
        <v>227</v>
      </c>
      <c r="D50" s="9" t="s">
        <v>228</v>
      </c>
      <c r="E50" s="10" t="s">
        <v>229</v>
      </c>
      <c r="F50" s="20">
        <v>721306</v>
      </c>
      <c r="G50" s="21" t="s">
        <v>59</v>
      </c>
      <c r="H50" s="21" t="s">
        <v>69</v>
      </c>
      <c r="I50" s="12">
        <v>1</v>
      </c>
      <c r="J50" s="12">
        <v>21</v>
      </c>
      <c r="K50" s="12"/>
      <c r="L50" s="13" t="s">
        <v>39</v>
      </c>
      <c r="M50" s="12">
        <v>6900</v>
      </c>
      <c r="N50" s="12">
        <v>741</v>
      </c>
      <c r="O50" s="9" t="s">
        <v>153</v>
      </c>
    </row>
    <row r="51" spans="1:15" ht="105" x14ac:dyDescent="0.25">
      <c r="A51" s="5"/>
      <c r="B51" s="7">
        <v>2</v>
      </c>
      <c r="C51" s="22" t="s">
        <v>230</v>
      </c>
      <c r="D51" s="6">
        <v>9545431092</v>
      </c>
      <c r="E51" s="4" t="s">
        <v>231</v>
      </c>
      <c r="F51" s="22">
        <v>421301</v>
      </c>
      <c r="G51" s="23" t="s">
        <v>125</v>
      </c>
      <c r="H51" s="23" t="s">
        <v>18</v>
      </c>
      <c r="I51" s="7">
        <v>1</v>
      </c>
      <c r="J51" s="7">
        <v>25</v>
      </c>
      <c r="K51" s="7"/>
      <c r="L51" s="19"/>
      <c r="M51" s="7">
        <v>8500</v>
      </c>
      <c r="N51" s="7">
        <v>525</v>
      </c>
      <c r="O51" s="6" t="s">
        <v>20</v>
      </c>
    </row>
    <row r="52" spans="1:15" ht="60" x14ac:dyDescent="0.25">
      <c r="A52" s="5"/>
      <c r="B52" s="7">
        <v>3</v>
      </c>
      <c r="C52" s="22" t="s">
        <v>232</v>
      </c>
      <c r="D52" s="6" t="s">
        <v>233</v>
      </c>
      <c r="E52" s="4" t="s">
        <v>234</v>
      </c>
      <c r="F52" s="22">
        <v>134003</v>
      </c>
      <c r="G52" s="23" t="s">
        <v>149</v>
      </c>
      <c r="H52" s="23" t="s">
        <v>62</v>
      </c>
      <c r="I52" s="7">
        <v>2</v>
      </c>
      <c r="J52" s="7">
        <v>35</v>
      </c>
      <c r="K52" s="7"/>
      <c r="L52" s="19"/>
      <c r="M52" s="7">
        <v>13800</v>
      </c>
      <c r="N52" s="7">
        <v>735</v>
      </c>
      <c r="O52" s="6" t="s">
        <v>20</v>
      </c>
    </row>
    <row r="53" spans="1:15" ht="120" x14ac:dyDescent="0.25">
      <c r="A53" s="5"/>
      <c r="B53" s="7">
        <v>4</v>
      </c>
      <c r="C53" s="22" t="s">
        <v>235</v>
      </c>
      <c r="D53" s="6">
        <v>9346079080</v>
      </c>
      <c r="E53" s="4" t="s">
        <v>236</v>
      </c>
      <c r="F53" s="22">
        <v>500047</v>
      </c>
      <c r="G53" s="23" t="s">
        <v>237</v>
      </c>
      <c r="H53" s="23" t="s">
        <v>23</v>
      </c>
      <c r="I53" s="7">
        <v>1</v>
      </c>
      <c r="J53" s="7">
        <v>21</v>
      </c>
      <c r="K53" s="7"/>
      <c r="L53" s="19"/>
      <c r="M53" s="7">
        <v>7100</v>
      </c>
      <c r="N53" s="7">
        <v>441</v>
      </c>
      <c r="O53" s="6" t="s">
        <v>20</v>
      </c>
    </row>
    <row r="54" spans="1:15" ht="60" x14ac:dyDescent="0.25">
      <c r="A54" s="5"/>
      <c r="B54" s="12">
        <v>5</v>
      </c>
      <c r="C54" s="20" t="s">
        <v>238</v>
      </c>
      <c r="D54" s="9" t="s">
        <v>239</v>
      </c>
      <c r="E54" s="10" t="s">
        <v>240</v>
      </c>
      <c r="F54" s="20">
        <v>396445</v>
      </c>
      <c r="G54" s="21" t="s">
        <v>241</v>
      </c>
      <c r="H54" s="21" t="s">
        <v>46</v>
      </c>
      <c r="I54" s="12">
        <v>1</v>
      </c>
      <c r="J54" s="12">
        <v>20</v>
      </c>
      <c r="K54" s="12"/>
      <c r="L54" s="13" t="s">
        <v>39</v>
      </c>
      <c r="M54" s="12">
        <v>7500</v>
      </c>
      <c r="N54" s="12">
        <v>720</v>
      </c>
      <c r="O54" s="9" t="s">
        <v>20</v>
      </c>
    </row>
    <row r="55" spans="1:15" ht="105" x14ac:dyDescent="0.25">
      <c r="A55" s="5"/>
      <c r="B55" s="7">
        <v>6</v>
      </c>
      <c r="C55" s="22" t="s">
        <v>242</v>
      </c>
      <c r="D55" s="6" t="s">
        <v>243</v>
      </c>
      <c r="E55" s="4" t="s">
        <v>244</v>
      </c>
      <c r="F55" s="22">
        <v>518006</v>
      </c>
      <c r="G55" s="23" t="s">
        <v>245</v>
      </c>
      <c r="H55" s="23" t="s">
        <v>31</v>
      </c>
      <c r="I55" s="7">
        <v>2</v>
      </c>
      <c r="J55" s="7">
        <v>35</v>
      </c>
      <c r="K55" s="7"/>
      <c r="L55" s="19"/>
      <c r="M55" s="7">
        <v>12200</v>
      </c>
      <c r="N55" s="7">
        <v>735</v>
      </c>
      <c r="O55" s="6" t="s">
        <v>105</v>
      </c>
    </row>
    <row r="56" spans="1:15" ht="90" x14ac:dyDescent="0.25">
      <c r="A56" s="5"/>
      <c r="B56" s="12">
        <v>7</v>
      </c>
      <c r="C56" s="20" t="s">
        <v>246</v>
      </c>
      <c r="D56" s="9">
        <v>7358562316</v>
      </c>
      <c r="E56" s="10" t="s">
        <v>247</v>
      </c>
      <c r="F56" s="20">
        <v>831001</v>
      </c>
      <c r="G56" s="21" t="s">
        <v>248</v>
      </c>
      <c r="H56" s="21" t="s">
        <v>61</v>
      </c>
      <c r="I56" s="12">
        <v>1</v>
      </c>
      <c r="J56" s="12">
        <v>21</v>
      </c>
      <c r="K56" s="12"/>
      <c r="L56" s="13" t="s">
        <v>39</v>
      </c>
      <c r="M56" s="12">
        <v>8000</v>
      </c>
      <c r="N56" s="12">
        <v>741</v>
      </c>
      <c r="O56" s="9" t="s">
        <v>105</v>
      </c>
    </row>
    <row r="57" spans="1:15" ht="90" x14ac:dyDescent="0.25">
      <c r="A57" s="5"/>
      <c r="B57" s="7">
        <v>8</v>
      </c>
      <c r="C57" s="22" t="s">
        <v>249</v>
      </c>
      <c r="D57" s="6" t="s">
        <v>250</v>
      </c>
      <c r="E57" s="4" t="s">
        <v>251</v>
      </c>
      <c r="F57" s="22">
        <v>500039</v>
      </c>
      <c r="G57" s="23" t="s">
        <v>29</v>
      </c>
      <c r="H57" s="23" t="s">
        <v>23</v>
      </c>
      <c r="I57" s="7">
        <v>2</v>
      </c>
      <c r="J57" s="7">
        <v>35</v>
      </c>
      <c r="K57" s="7"/>
      <c r="L57" s="19"/>
      <c r="M57" s="7">
        <v>12200</v>
      </c>
      <c r="N57" s="7">
        <v>735</v>
      </c>
      <c r="O57" s="6" t="s">
        <v>105</v>
      </c>
    </row>
    <row r="58" spans="1:15" ht="135" x14ac:dyDescent="0.25">
      <c r="A58" s="5"/>
      <c r="B58" s="12">
        <v>9</v>
      </c>
      <c r="C58" s="20" t="s">
        <v>252</v>
      </c>
      <c r="D58" s="9">
        <v>9348858175</v>
      </c>
      <c r="E58" s="10" t="s">
        <v>253</v>
      </c>
      <c r="F58" s="20">
        <v>754250</v>
      </c>
      <c r="G58" s="21" t="s">
        <v>254</v>
      </c>
      <c r="H58" s="21" t="s">
        <v>50</v>
      </c>
      <c r="I58" s="12">
        <v>1</v>
      </c>
      <c r="J58" s="12">
        <v>25</v>
      </c>
      <c r="K58" s="12"/>
      <c r="L58" s="13" t="s">
        <v>39</v>
      </c>
      <c r="M58" s="12">
        <v>8500</v>
      </c>
      <c r="N58" s="12">
        <v>825</v>
      </c>
      <c r="O58" s="9" t="s">
        <v>105</v>
      </c>
    </row>
    <row r="59" spans="1:15" ht="135" x14ac:dyDescent="0.25">
      <c r="A59" s="5"/>
      <c r="B59" s="7">
        <v>10</v>
      </c>
      <c r="C59" s="22" t="s">
        <v>255</v>
      </c>
      <c r="D59" s="6" t="s">
        <v>256</v>
      </c>
      <c r="E59" s="4" t="s">
        <v>257</v>
      </c>
      <c r="F59" s="22">
        <v>500055</v>
      </c>
      <c r="G59" s="23" t="s">
        <v>29</v>
      </c>
      <c r="H59" s="23" t="s">
        <v>23</v>
      </c>
      <c r="I59" s="7">
        <v>3</v>
      </c>
      <c r="J59" s="7">
        <v>52</v>
      </c>
      <c r="K59" s="7"/>
      <c r="L59" s="19"/>
      <c r="M59" s="7">
        <v>18300</v>
      </c>
      <c r="N59" s="7">
        <v>1092</v>
      </c>
      <c r="O59" s="6" t="s">
        <v>105</v>
      </c>
    </row>
    <row r="60" spans="1:15" ht="135" x14ac:dyDescent="0.25">
      <c r="A60" s="5"/>
      <c r="B60" s="7">
        <v>11</v>
      </c>
      <c r="C60" s="22" t="s">
        <v>258</v>
      </c>
      <c r="D60" s="6" t="s">
        <v>259</v>
      </c>
      <c r="E60" s="4" t="s">
        <v>260</v>
      </c>
      <c r="F60" s="22">
        <v>500085</v>
      </c>
      <c r="G60" s="23" t="s">
        <v>29</v>
      </c>
      <c r="H60" s="23" t="s">
        <v>23</v>
      </c>
      <c r="I60" s="7">
        <v>2</v>
      </c>
      <c r="J60" s="7">
        <v>25</v>
      </c>
      <c r="K60" s="7"/>
      <c r="L60" s="19"/>
      <c r="M60" s="7">
        <v>9200</v>
      </c>
      <c r="N60" s="7">
        <v>525</v>
      </c>
      <c r="O60" s="6" t="s">
        <v>105</v>
      </c>
    </row>
    <row r="61" spans="1:15" ht="60" x14ac:dyDescent="0.25">
      <c r="A61" s="5"/>
      <c r="B61" s="7">
        <v>12</v>
      </c>
      <c r="C61" s="22" t="s">
        <v>261</v>
      </c>
      <c r="D61" s="6">
        <v>9068868054</v>
      </c>
      <c r="E61" s="4" t="s">
        <v>262</v>
      </c>
      <c r="F61" s="22">
        <v>201206</v>
      </c>
      <c r="G61" s="23" t="s">
        <v>263</v>
      </c>
      <c r="H61" s="23" t="s">
        <v>60</v>
      </c>
      <c r="I61" s="7">
        <v>1</v>
      </c>
      <c r="J61" s="7">
        <v>20</v>
      </c>
      <c r="K61" s="7"/>
      <c r="L61" s="19"/>
      <c r="M61" s="7">
        <v>6900</v>
      </c>
      <c r="N61" s="7">
        <f t="shared" ref="N61:N62" si="6">IF(J61&lt;=0.5, 45,
   IF(J61&lt;=1, 50,
   IF(J61&lt;=1.5, 77,
   IF(J61&lt;=2, 92,
   IF(J61&lt;=10, 282, 420)))))</f>
        <v>420</v>
      </c>
      <c r="O61" s="6" t="s">
        <v>264</v>
      </c>
    </row>
    <row r="62" spans="1:15" ht="75" x14ac:dyDescent="0.25">
      <c r="A62" s="5"/>
      <c r="B62" s="7">
        <v>13</v>
      </c>
      <c r="C62" s="22" t="s">
        <v>265</v>
      </c>
      <c r="D62" s="6">
        <v>8400808077</v>
      </c>
      <c r="E62" s="4" t="s">
        <v>266</v>
      </c>
      <c r="F62" s="22">
        <v>226025</v>
      </c>
      <c r="G62" s="23" t="s">
        <v>224</v>
      </c>
      <c r="H62" s="23" t="s">
        <v>60</v>
      </c>
      <c r="I62" s="7">
        <v>1</v>
      </c>
      <c r="J62" s="7">
        <v>20</v>
      </c>
      <c r="K62" s="7"/>
      <c r="L62" s="19"/>
      <c r="M62" s="7">
        <v>6900</v>
      </c>
      <c r="N62" s="7">
        <f t="shared" si="6"/>
        <v>420</v>
      </c>
      <c r="O62" s="6" t="s">
        <v>264</v>
      </c>
    </row>
    <row r="63" spans="1:15" ht="120" x14ac:dyDescent="0.25">
      <c r="A63" s="5"/>
      <c r="B63" s="12">
        <v>14</v>
      </c>
      <c r="C63" s="20" t="s">
        <v>267</v>
      </c>
      <c r="D63" s="9">
        <v>9140951239</v>
      </c>
      <c r="E63" s="10" t="s">
        <v>268</v>
      </c>
      <c r="F63" s="20">
        <v>229010</v>
      </c>
      <c r="G63" s="21" t="s">
        <v>269</v>
      </c>
      <c r="H63" s="21" t="s">
        <v>60</v>
      </c>
      <c r="I63" s="12">
        <v>1</v>
      </c>
      <c r="J63" s="12">
        <v>20</v>
      </c>
      <c r="K63" s="12"/>
      <c r="L63" s="13" t="s">
        <v>39</v>
      </c>
      <c r="M63" s="12">
        <v>6900</v>
      </c>
      <c r="N63" s="12">
        <v>720</v>
      </c>
      <c r="O63" s="9" t="s">
        <v>264</v>
      </c>
    </row>
    <row r="64" spans="1:15" ht="90" x14ac:dyDescent="0.25">
      <c r="A64" s="5"/>
      <c r="B64" s="12">
        <v>15</v>
      </c>
      <c r="C64" s="20" t="s">
        <v>270</v>
      </c>
      <c r="D64" s="9">
        <v>9482436244</v>
      </c>
      <c r="E64" s="10" t="s">
        <v>271</v>
      </c>
      <c r="F64" s="20">
        <v>581304</v>
      </c>
      <c r="G64" s="21" t="s">
        <v>272</v>
      </c>
      <c r="H64" s="21" t="s">
        <v>273</v>
      </c>
      <c r="I64" s="12">
        <v>1</v>
      </c>
      <c r="J64" s="12">
        <v>20</v>
      </c>
      <c r="K64" s="12"/>
      <c r="L64" s="13" t="s">
        <v>39</v>
      </c>
      <c r="M64" s="12">
        <v>6900</v>
      </c>
      <c r="N64" s="12">
        <v>720</v>
      </c>
      <c r="O64" s="9" t="s">
        <v>264</v>
      </c>
    </row>
    <row r="65" spans="1:15" ht="75" x14ac:dyDescent="0.25">
      <c r="A65" s="5"/>
      <c r="B65" s="12">
        <v>16</v>
      </c>
      <c r="C65" s="12" t="s">
        <v>274</v>
      </c>
      <c r="D65" s="12">
        <v>9460578570</v>
      </c>
      <c r="E65" s="10" t="s">
        <v>275</v>
      </c>
      <c r="F65" s="12">
        <v>311301</v>
      </c>
      <c r="G65" s="12" t="s">
        <v>276</v>
      </c>
      <c r="H65" s="12" t="s">
        <v>277</v>
      </c>
      <c r="I65" s="12">
        <v>1</v>
      </c>
      <c r="J65" s="12">
        <v>20</v>
      </c>
      <c r="K65" s="12"/>
      <c r="L65" s="13" t="s">
        <v>39</v>
      </c>
      <c r="M65" s="12">
        <v>6900</v>
      </c>
      <c r="N65" s="12">
        <v>720</v>
      </c>
      <c r="O65" s="9" t="s">
        <v>264</v>
      </c>
    </row>
    <row r="66" spans="1:15" ht="105" x14ac:dyDescent="0.25">
      <c r="A66" s="5"/>
      <c r="B66" s="12">
        <v>17</v>
      </c>
      <c r="C66" s="12" t="s">
        <v>111</v>
      </c>
      <c r="D66" s="12" t="s">
        <v>278</v>
      </c>
      <c r="E66" s="10" t="s">
        <v>279</v>
      </c>
      <c r="F66" s="12">
        <v>413736</v>
      </c>
      <c r="G66" s="12" t="s">
        <v>280</v>
      </c>
      <c r="H66" s="12" t="s">
        <v>28</v>
      </c>
      <c r="I66" s="12">
        <v>1</v>
      </c>
      <c r="J66" s="12">
        <v>14</v>
      </c>
      <c r="K66" s="12" t="s">
        <v>25</v>
      </c>
      <c r="L66" s="13" t="s">
        <v>39</v>
      </c>
      <c r="M66" s="12">
        <v>9999</v>
      </c>
      <c r="N66" s="12">
        <v>720</v>
      </c>
      <c r="O66" s="9" t="s">
        <v>73</v>
      </c>
    </row>
    <row r="67" spans="1:15" ht="90" x14ac:dyDescent="0.25">
      <c r="A67" s="5"/>
      <c r="B67" s="7">
        <v>18</v>
      </c>
      <c r="C67" s="7" t="s">
        <v>281</v>
      </c>
      <c r="D67" s="7" t="s">
        <v>282</v>
      </c>
      <c r="E67" s="4" t="s">
        <v>283</v>
      </c>
      <c r="F67" s="7">
        <v>522201</v>
      </c>
      <c r="G67" s="7" t="s">
        <v>94</v>
      </c>
      <c r="H67" s="7" t="s">
        <v>31</v>
      </c>
      <c r="I67" s="7">
        <v>1</v>
      </c>
      <c r="J67" s="7">
        <v>9.8000000000000007</v>
      </c>
      <c r="K67" s="7" t="s">
        <v>30</v>
      </c>
      <c r="L67" s="7"/>
      <c r="M67" s="7">
        <v>9999</v>
      </c>
      <c r="N67" s="7">
        <v>282</v>
      </c>
      <c r="O67" s="6" t="s">
        <v>73</v>
      </c>
    </row>
    <row r="68" spans="1:15" x14ac:dyDescent="0.25">
      <c r="A68" s="5"/>
      <c r="B68" s="2" t="s">
        <v>0</v>
      </c>
      <c r="C68" s="2" t="s">
        <v>1</v>
      </c>
      <c r="D68" s="2" t="s">
        <v>2</v>
      </c>
      <c r="E68" s="3" t="s">
        <v>3</v>
      </c>
      <c r="F68" s="2" t="s">
        <v>4</v>
      </c>
      <c r="G68" s="2" t="s">
        <v>5</v>
      </c>
      <c r="H68" s="2" t="s">
        <v>6</v>
      </c>
      <c r="I68" s="2" t="s">
        <v>7</v>
      </c>
      <c r="J68" s="2" t="s">
        <v>8</v>
      </c>
      <c r="K68" s="2" t="s">
        <v>9</v>
      </c>
      <c r="L68" s="2" t="s">
        <v>10</v>
      </c>
      <c r="M68" s="2" t="s">
        <v>14</v>
      </c>
      <c r="N68" s="2" t="s">
        <v>11</v>
      </c>
      <c r="O68" s="2" t="s">
        <v>12</v>
      </c>
    </row>
    <row r="69" spans="1:15" ht="135" x14ac:dyDescent="0.25">
      <c r="A69" s="5" t="s">
        <v>322</v>
      </c>
      <c r="B69" s="7">
        <v>1</v>
      </c>
      <c r="C69" s="22" t="s">
        <v>285</v>
      </c>
      <c r="D69" s="6">
        <v>9661084239</v>
      </c>
      <c r="E69" s="4" t="s">
        <v>286</v>
      </c>
      <c r="F69" s="22">
        <v>410501</v>
      </c>
      <c r="G69" s="23" t="s">
        <v>77</v>
      </c>
      <c r="H69" s="23" t="s">
        <v>18</v>
      </c>
      <c r="I69" s="7">
        <v>1</v>
      </c>
      <c r="J69" s="7">
        <v>25</v>
      </c>
      <c r="K69" s="7"/>
      <c r="L69" s="19"/>
      <c r="M69" s="7">
        <v>8500</v>
      </c>
      <c r="N69" s="7">
        <v>525</v>
      </c>
      <c r="O69" s="6" t="s">
        <v>287</v>
      </c>
    </row>
    <row r="70" spans="1:15" ht="120" x14ac:dyDescent="0.25">
      <c r="A70" s="5"/>
      <c r="B70" s="7">
        <v>2</v>
      </c>
      <c r="C70" s="22" t="s">
        <v>288</v>
      </c>
      <c r="D70" s="6">
        <v>8668260885</v>
      </c>
      <c r="E70" s="4" t="s">
        <v>289</v>
      </c>
      <c r="F70" s="22">
        <v>560064</v>
      </c>
      <c r="G70" s="23" t="s">
        <v>290</v>
      </c>
      <c r="H70" s="23" t="s">
        <v>22</v>
      </c>
      <c r="I70" s="7">
        <v>1</v>
      </c>
      <c r="J70" s="7">
        <v>25</v>
      </c>
      <c r="K70" s="7"/>
      <c r="L70" s="19"/>
      <c r="M70" s="7">
        <v>8500</v>
      </c>
      <c r="N70" s="7">
        <v>525</v>
      </c>
      <c r="O70" s="6" t="s">
        <v>291</v>
      </c>
    </row>
    <row r="71" spans="1:15" ht="60" x14ac:dyDescent="0.25">
      <c r="A71" s="5"/>
      <c r="B71" s="7">
        <v>3</v>
      </c>
      <c r="C71" s="22" t="s">
        <v>292</v>
      </c>
      <c r="D71" s="6">
        <v>9493238988</v>
      </c>
      <c r="E71" s="4" t="s">
        <v>293</v>
      </c>
      <c r="F71" s="22">
        <v>522003</v>
      </c>
      <c r="G71" s="23" t="s">
        <v>45</v>
      </c>
      <c r="H71" s="23" t="s">
        <v>31</v>
      </c>
      <c r="I71" s="7">
        <v>1</v>
      </c>
      <c r="J71" s="7">
        <v>20</v>
      </c>
      <c r="K71" s="7"/>
      <c r="L71" s="19"/>
      <c r="M71" s="7">
        <v>6100</v>
      </c>
      <c r="N71" s="7">
        <f t="shared" ref="N71:N77" si="7">IF(J71&lt;=0.5, 45,
   IF(J71&lt;=1, 50,
   IF(J71&lt;=1.5, 77,
   IF(J71&lt;=2, 92,
   IF(J71&lt;=10, 282, 420)))))</f>
        <v>420</v>
      </c>
      <c r="O71" s="6" t="s">
        <v>294</v>
      </c>
    </row>
    <row r="72" spans="1:15" ht="90" x14ac:dyDescent="0.25">
      <c r="A72" s="5"/>
      <c r="B72" s="7">
        <v>4</v>
      </c>
      <c r="C72" s="22" t="s">
        <v>295</v>
      </c>
      <c r="D72" s="6">
        <v>9337220608</v>
      </c>
      <c r="E72" s="4" t="s">
        <v>296</v>
      </c>
      <c r="F72" s="22">
        <v>761001</v>
      </c>
      <c r="G72" s="23" t="s">
        <v>297</v>
      </c>
      <c r="H72" s="23" t="s">
        <v>50</v>
      </c>
      <c r="I72" s="7">
        <v>2</v>
      </c>
      <c r="J72" s="7">
        <v>42</v>
      </c>
      <c r="K72" s="7"/>
      <c r="L72" s="19"/>
      <c r="M72" s="7">
        <v>14200</v>
      </c>
      <c r="N72" s="7">
        <v>882</v>
      </c>
      <c r="O72" s="6" t="s">
        <v>294</v>
      </c>
    </row>
    <row r="73" spans="1:15" ht="105" x14ac:dyDescent="0.25">
      <c r="A73" s="5"/>
      <c r="B73" s="7">
        <v>5</v>
      </c>
      <c r="C73" s="22" t="s">
        <v>298</v>
      </c>
      <c r="D73" s="6">
        <v>9850218770</v>
      </c>
      <c r="E73" s="4" t="s">
        <v>299</v>
      </c>
      <c r="F73" s="22">
        <v>411017</v>
      </c>
      <c r="G73" s="23" t="s">
        <v>77</v>
      </c>
      <c r="H73" s="23" t="s">
        <v>18</v>
      </c>
      <c r="I73" s="7">
        <v>1</v>
      </c>
      <c r="J73" s="7">
        <v>1</v>
      </c>
      <c r="K73" s="7"/>
      <c r="L73" s="19"/>
      <c r="M73" s="7">
        <v>50</v>
      </c>
      <c r="N73" s="7">
        <f>IF(J73&lt;=0.5, 45,
   IF(J73&lt;=1, 50,
   IF(J73&lt;=1.5, 77,
   IF(J73&lt;=2, 92,
   IF(J73&lt;=10, 282, 420)))))</f>
        <v>50</v>
      </c>
      <c r="O73" s="6" t="s">
        <v>300</v>
      </c>
    </row>
    <row r="74" spans="1:15" ht="75" x14ac:dyDescent="0.25">
      <c r="A74" s="5"/>
      <c r="B74" s="7">
        <v>6</v>
      </c>
      <c r="C74" s="22" t="s">
        <v>301</v>
      </c>
      <c r="D74" s="6">
        <v>9422617851</v>
      </c>
      <c r="E74" s="4" t="s">
        <v>302</v>
      </c>
      <c r="F74" s="22">
        <v>411033</v>
      </c>
      <c r="G74" s="23" t="s">
        <v>77</v>
      </c>
      <c r="H74" s="23" t="s">
        <v>18</v>
      </c>
      <c r="I74" s="7">
        <v>1</v>
      </c>
      <c r="J74" s="7">
        <v>2</v>
      </c>
      <c r="K74" s="7"/>
      <c r="L74" s="19"/>
      <c r="M74" s="7">
        <v>570</v>
      </c>
      <c r="N74" s="7">
        <f t="shared" si="7"/>
        <v>92</v>
      </c>
      <c r="O74" s="6" t="s">
        <v>300</v>
      </c>
    </row>
    <row r="75" spans="1:15" ht="75" x14ac:dyDescent="0.25">
      <c r="A75" s="5"/>
      <c r="B75" s="7">
        <v>7</v>
      </c>
      <c r="C75" s="22" t="s">
        <v>303</v>
      </c>
      <c r="D75" s="6">
        <v>7875467453</v>
      </c>
      <c r="E75" s="4" t="s">
        <v>304</v>
      </c>
      <c r="F75" s="22">
        <v>411057</v>
      </c>
      <c r="G75" s="23" t="s">
        <v>77</v>
      </c>
      <c r="H75" s="23" t="s">
        <v>18</v>
      </c>
      <c r="I75" s="7">
        <v>1</v>
      </c>
      <c r="J75" s="7">
        <v>1</v>
      </c>
      <c r="K75" s="7"/>
      <c r="L75" s="19"/>
      <c r="M75" s="7">
        <v>350</v>
      </c>
      <c r="N75" s="7">
        <f t="shared" si="7"/>
        <v>50</v>
      </c>
      <c r="O75" s="6" t="s">
        <v>300</v>
      </c>
    </row>
    <row r="76" spans="1:15" ht="75" x14ac:dyDescent="0.25">
      <c r="A76" s="5"/>
      <c r="B76" s="7">
        <v>8</v>
      </c>
      <c r="C76" s="22" t="s">
        <v>305</v>
      </c>
      <c r="D76" s="6" t="s">
        <v>306</v>
      </c>
      <c r="E76" s="4" t="s">
        <v>307</v>
      </c>
      <c r="F76" s="22">
        <v>493663</v>
      </c>
      <c r="G76" s="23" t="s">
        <v>308</v>
      </c>
      <c r="H76" s="23" t="s">
        <v>51</v>
      </c>
      <c r="I76" s="7">
        <v>1</v>
      </c>
      <c r="J76" s="7">
        <v>20</v>
      </c>
      <c r="K76" s="7"/>
      <c r="L76" s="19"/>
      <c r="M76" s="7">
        <v>6900</v>
      </c>
      <c r="N76" s="7">
        <f t="shared" si="7"/>
        <v>420</v>
      </c>
      <c r="O76" s="6" t="s">
        <v>309</v>
      </c>
    </row>
    <row r="77" spans="1:15" ht="60" x14ac:dyDescent="0.25">
      <c r="A77" s="5"/>
      <c r="B77" s="7">
        <v>9</v>
      </c>
      <c r="C77" s="22" t="s">
        <v>310</v>
      </c>
      <c r="D77" s="6">
        <v>9413629891</v>
      </c>
      <c r="E77" s="4" t="s">
        <v>311</v>
      </c>
      <c r="F77" s="22">
        <v>302017</v>
      </c>
      <c r="G77" s="23" t="s">
        <v>312</v>
      </c>
      <c r="H77" s="23" t="s">
        <v>54</v>
      </c>
      <c r="I77" s="7">
        <v>1</v>
      </c>
      <c r="J77" s="7">
        <v>20</v>
      </c>
      <c r="K77" s="7"/>
      <c r="L77" s="19"/>
      <c r="M77" s="7">
        <v>6900</v>
      </c>
      <c r="N77" s="7">
        <f t="shared" si="7"/>
        <v>420</v>
      </c>
      <c r="O77" s="6" t="s">
        <v>313</v>
      </c>
    </row>
    <row r="78" spans="1:15" ht="75" x14ac:dyDescent="0.25">
      <c r="A78" s="5"/>
      <c r="B78" s="7">
        <v>10</v>
      </c>
      <c r="C78" s="22" t="s">
        <v>314</v>
      </c>
      <c r="D78" s="6" t="s">
        <v>315</v>
      </c>
      <c r="E78" s="4" t="s">
        <v>316</v>
      </c>
      <c r="F78" s="22">
        <v>400066</v>
      </c>
      <c r="G78" s="23" t="s">
        <v>317</v>
      </c>
      <c r="H78" s="23" t="s">
        <v>28</v>
      </c>
      <c r="I78" s="7">
        <v>4</v>
      </c>
      <c r="J78" s="7">
        <v>50</v>
      </c>
      <c r="K78" s="7" t="s">
        <v>25</v>
      </c>
      <c r="L78" s="19"/>
      <c r="M78" s="7">
        <v>32000</v>
      </c>
      <c r="N78" s="7">
        <v>1050</v>
      </c>
      <c r="O78" s="6" t="s">
        <v>73</v>
      </c>
    </row>
    <row r="79" spans="1:15" ht="90" x14ac:dyDescent="0.25">
      <c r="A79" s="5"/>
      <c r="B79" s="7">
        <v>11</v>
      </c>
      <c r="C79" s="22" t="s">
        <v>318</v>
      </c>
      <c r="D79" s="6" t="s">
        <v>319</v>
      </c>
      <c r="E79" s="4" t="s">
        <v>320</v>
      </c>
      <c r="F79" s="22">
        <v>423203</v>
      </c>
      <c r="G79" s="23" t="s">
        <v>321</v>
      </c>
      <c r="H79" s="23" t="s">
        <v>28</v>
      </c>
      <c r="I79" s="7">
        <v>1</v>
      </c>
      <c r="J79" s="7">
        <v>18.5</v>
      </c>
      <c r="K79" s="7" t="s">
        <v>30</v>
      </c>
      <c r="L79" s="19"/>
      <c r="M79" s="7">
        <v>14999</v>
      </c>
      <c r="N79" s="7">
        <v>420</v>
      </c>
      <c r="O79" s="6" t="s">
        <v>73</v>
      </c>
    </row>
    <row r="80" spans="1:15" ht="90" x14ac:dyDescent="0.25">
      <c r="A80" s="5"/>
      <c r="B80" s="7">
        <v>12</v>
      </c>
      <c r="C80" s="22" t="s">
        <v>166</v>
      </c>
      <c r="D80" s="6" t="s">
        <v>167</v>
      </c>
      <c r="E80" s="4" t="s">
        <v>168</v>
      </c>
      <c r="F80" s="22">
        <v>110035</v>
      </c>
      <c r="G80" s="23" t="s">
        <v>37</v>
      </c>
      <c r="H80" s="23" t="s">
        <v>37</v>
      </c>
      <c r="I80" s="7">
        <v>2</v>
      </c>
      <c r="J80" s="7">
        <v>29.5</v>
      </c>
      <c r="K80" s="7" t="s">
        <v>30</v>
      </c>
      <c r="L80" s="19"/>
      <c r="M80" s="7">
        <v>20000</v>
      </c>
      <c r="N80" s="7">
        <v>630</v>
      </c>
      <c r="O80" s="6" t="s">
        <v>73</v>
      </c>
    </row>
    <row r="81" spans="1:15" x14ac:dyDescent="0.25">
      <c r="A81" s="5"/>
      <c r="B81" s="2" t="s">
        <v>0</v>
      </c>
      <c r="C81" s="2" t="s">
        <v>1</v>
      </c>
      <c r="D81" s="2" t="s">
        <v>2</v>
      </c>
      <c r="E81" s="3" t="s">
        <v>3</v>
      </c>
      <c r="F81" s="2" t="s">
        <v>4</v>
      </c>
      <c r="G81" s="2" t="s">
        <v>5</v>
      </c>
      <c r="H81" s="2" t="s">
        <v>6</v>
      </c>
      <c r="I81" s="2" t="s">
        <v>7</v>
      </c>
      <c r="J81" s="2" t="s">
        <v>8</v>
      </c>
      <c r="K81" s="2" t="s">
        <v>9</v>
      </c>
      <c r="L81" s="2" t="s">
        <v>10</v>
      </c>
      <c r="M81" s="2" t="s">
        <v>14</v>
      </c>
      <c r="N81" s="2" t="s">
        <v>11</v>
      </c>
      <c r="O81" s="2" t="s">
        <v>12</v>
      </c>
    </row>
    <row r="82" spans="1:15" ht="75" x14ac:dyDescent="0.25">
      <c r="A82" s="5" t="s">
        <v>593</v>
      </c>
      <c r="B82" s="7">
        <v>1</v>
      </c>
      <c r="C82" s="7" t="s">
        <v>590</v>
      </c>
      <c r="D82" s="7" t="s">
        <v>591</v>
      </c>
      <c r="E82" s="4" t="s">
        <v>592</v>
      </c>
      <c r="F82" s="7">
        <v>560068</v>
      </c>
      <c r="G82" s="7" t="s">
        <v>21</v>
      </c>
      <c r="H82" s="7" t="s">
        <v>439</v>
      </c>
      <c r="I82" s="7">
        <v>1</v>
      </c>
      <c r="J82" s="7">
        <v>1</v>
      </c>
      <c r="K82" s="7" t="s">
        <v>25</v>
      </c>
      <c r="L82" s="7">
        <v>2000</v>
      </c>
      <c r="M82" s="55">
        <v>50</v>
      </c>
      <c r="N82" s="7">
        <f t="shared" ref="N82" si="8">IF(J82&lt;=0.5, 45,
   IF(J82&lt;=1, 50,
   IF(J82&lt;=1.5, 77,
   IF(J82&lt;=2, 92,
   IF(J82&lt;=10, 282, 420)))))</f>
        <v>50</v>
      </c>
      <c r="O82" s="6" t="s">
        <v>26</v>
      </c>
    </row>
    <row r="83" spans="1:15" x14ac:dyDescent="0.25">
      <c r="A83" s="5"/>
      <c r="B83" s="2" t="s">
        <v>0</v>
      </c>
      <c r="C83" s="2" t="s">
        <v>1</v>
      </c>
      <c r="D83" s="2" t="s">
        <v>2</v>
      </c>
      <c r="E83" s="3" t="s">
        <v>3</v>
      </c>
      <c r="F83" s="2" t="s">
        <v>4</v>
      </c>
      <c r="G83" s="2" t="s">
        <v>5</v>
      </c>
      <c r="H83" s="2" t="s">
        <v>6</v>
      </c>
      <c r="I83" s="2" t="s">
        <v>7</v>
      </c>
      <c r="J83" s="2" t="s">
        <v>8</v>
      </c>
      <c r="K83" s="2" t="s">
        <v>9</v>
      </c>
      <c r="L83" s="2" t="s">
        <v>10</v>
      </c>
      <c r="M83" s="2" t="s">
        <v>14</v>
      </c>
      <c r="N83" s="2" t="s">
        <v>11</v>
      </c>
      <c r="O83" s="2" t="s">
        <v>12</v>
      </c>
    </row>
    <row r="84" spans="1:15" ht="60" x14ac:dyDescent="0.25">
      <c r="A84" s="5" t="s">
        <v>351</v>
      </c>
      <c r="B84" s="12">
        <v>1</v>
      </c>
      <c r="C84" s="20" t="s">
        <v>324</v>
      </c>
      <c r="D84" s="9">
        <v>8018213387</v>
      </c>
      <c r="E84" s="10" t="s">
        <v>325</v>
      </c>
      <c r="F84" s="20">
        <v>769005</v>
      </c>
      <c r="G84" s="21" t="s">
        <v>326</v>
      </c>
      <c r="H84" s="21" t="s">
        <v>50</v>
      </c>
      <c r="I84" s="12">
        <v>1</v>
      </c>
      <c r="J84" s="12">
        <v>20</v>
      </c>
      <c r="K84" s="12"/>
      <c r="L84" s="13" t="s">
        <v>39</v>
      </c>
      <c r="M84" s="12">
        <v>6900</v>
      </c>
      <c r="N84" s="12">
        <v>720</v>
      </c>
      <c r="O84" s="9" t="s">
        <v>294</v>
      </c>
    </row>
    <row r="85" spans="1:15" ht="75" x14ac:dyDescent="0.25">
      <c r="A85" s="5"/>
      <c r="B85" s="7">
        <v>2</v>
      </c>
      <c r="C85" s="22" t="s">
        <v>327</v>
      </c>
      <c r="D85" s="6">
        <v>8521959500</v>
      </c>
      <c r="E85" s="4" t="s">
        <v>328</v>
      </c>
      <c r="F85" s="22">
        <v>848207</v>
      </c>
      <c r="G85" s="23" t="s">
        <v>329</v>
      </c>
      <c r="H85" s="23" t="s">
        <v>36</v>
      </c>
      <c r="I85" s="7">
        <v>1</v>
      </c>
      <c r="J85" s="7">
        <v>20</v>
      </c>
      <c r="K85" s="7"/>
      <c r="L85" s="19"/>
      <c r="M85" s="7">
        <v>6900</v>
      </c>
      <c r="N85" s="7">
        <f t="shared" ref="N85:N88" si="9">IF(J85&lt;=0.5, 45,
   IF(J85&lt;=1, 50,
   IF(J85&lt;=1.5, 77,
   IF(J85&lt;=2, 92,
   IF(J85&lt;=10, 282, 420)))))</f>
        <v>420</v>
      </c>
      <c r="O85" s="6" t="s">
        <v>294</v>
      </c>
    </row>
    <row r="86" spans="1:15" ht="75" x14ac:dyDescent="0.25">
      <c r="A86" s="5"/>
      <c r="B86" s="7">
        <v>3</v>
      </c>
      <c r="C86" s="22" t="s">
        <v>330</v>
      </c>
      <c r="D86" s="6" t="s">
        <v>331</v>
      </c>
      <c r="E86" s="4" t="s">
        <v>332</v>
      </c>
      <c r="F86" s="22">
        <v>411018</v>
      </c>
      <c r="G86" s="23" t="s">
        <v>77</v>
      </c>
      <c r="H86" s="23" t="s">
        <v>18</v>
      </c>
      <c r="I86" s="7">
        <v>1</v>
      </c>
      <c r="J86" s="7">
        <v>20</v>
      </c>
      <c r="K86" s="7"/>
      <c r="L86" s="19"/>
      <c r="M86" s="7">
        <v>6900</v>
      </c>
      <c r="N86" s="7">
        <f t="shared" si="9"/>
        <v>420</v>
      </c>
      <c r="O86" s="6" t="s">
        <v>309</v>
      </c>
    </row>
    <row r="87" spans="1:15" ht="75" x14ac:dyDescent="0.25">
      <c r="A87" s="5"/>
      <c r="B87" s="7">
        <v>4</v>
      </c>
      <c r="C87" s="22" t="s">
        <v>333</v>
      </c>
      <c r="D87" s="6">
        <v>9441067799</v>
      </c>
      <c r="E87" s="4" t="s">
        <v>334</v>
      </c>
      <c r="F87" s="22">
        <v>515001</v>
      </c>
      <c r="G87" s="23" t="s">
        <v>80</v>
      </c>
      <c r="H87" s="23" t="s">
        <v>31</v>
      </c>
      <c r="I87" s="7">
        <v>1</v>
      </c>
      <c r="J87" s="7">
        <v>20</v>
      </c>
      <c r="K87" s="7"/>
      <c r="L87" s="19"/>
      <c r="M87" s="7">
        <v>6100</v>
      </c>
      <c r="N87" s="7">
        <f t="shared" si="9"/>
        <v>420</v>
      </c>
      <c r="O87" s="6" t="s">
        <v>335</v>
      </c>
    </row>
    <row r="88" spans="1:15" ht="60" x14ac:dyDescent="0.25">
      <c r="A88" s="5"/>
      <c r="B88" s="7">
        <v>5</v>
      </c>
      <c r="C88" s="22" t="s">
        <v>336</v>
      </c>
      <c r="D88" s="6">
        <v>9706660006</v>
      </c>
      <c r="E88" s="4" t="s">
        <v>337</v>
      </c>
      <c r="F88" s="22">
        <v>784001</v>
      </c>
      <c r="G88" s="23" t="s">
        <v>338</v>
      </c>
      <c r="H88" s="23" t="s">
        <v>339</v>
      </c>
      <c r="I88" s="7">
        <v>1</v>
      </c>
      <c r="J88" s="7">
        <v>20</v>
      </c>
      <c r="K88" s="7"/>
      <c r="L88" s="19"/>
      <c r="M88" s="7">
        <v>6900</v>
      </c>
      <c r="N88" s="7">
        <f t="shared" si="9"/>
        <v>420</v>
      </c>
      <c r="O88" s="6" t="s">
        <v>83</v>
      </c>
    </row>
    <row r="89" spans="1:15" ht="75" x14ac:dyDescent="0.25">
      <c r="A89" s="5"/>
      <c r="B89" s="12">
        <v>6</v>
      </c>
      <c r="C89" s="20" t="s">
        <v>340</v>
      </c>
      <c r="D89" s="9">
        <v>9975729648</v>
      </c>
      <c r="E89" s="10" t="s">
        <v>341</v>
      </c>
      <c r="F89" s="20">
        <v>412219</v>
      </c>
      <c r="G89" s="21" t="s">
        <v>77</v>
      </c>
      <c r="H89" s="21" t="s">
        <v>18</v>
      </c>
      <c r="I89" s="12">
        <v>1</v>
      </c>
      <c r="J89" s="12">
        <v>20</v>
      </c>
      <c r="K89" s="12"/>
      <c r="L89" s="13" t="s">
        <v>39</v>
      </c>
      <c r="M89" s="12">
        <v>6100</v>
      </c>
      <c r="N89" s="12">
        <v>720</v>
      </c>
      <c r="O89" s="9" t="s">
        <v>15</v>
      </c>
    </row>
    <row r="90" spans="1:15" ht="60" x14ac:dyDescent="0.25">
      <c r="A90" s="5"/>
      <c r="B90" s="12">
        <v>7</v>
      </c>
      <c r="C90" s="20" t="s">
        <v>342</v>
      </c>
      <c r="D90" s="9">
        <v>9850268138</v>
      </c>
      <c r="E90" s="10" t="s">
        <v>343</v>
      </c>
      <c r="F90" s="20">
        <v>412211</v>
      </c>
      <c r="G90" s="21" t="s">
        <v>77</v>
      </c>
      <c r="H90" s="21" t="s">
        <v>18</v>
      </c>
      <c r="I90" s="12">
        <v>1</v>
      </c>
      <c r="J90" s="12">
        <v>20</v>
      </c>
      <c r="K90" s="12"/>
      <c r="L90" s="13" t="s">
        <v>39</v>
      </c>
      <c r="M90" s="12">
        <v>6100</v>
      </c>
      <c r="N90" s="12">
        <v>720</v>
      </c>
      <c r="O90" s="9" t="s">
        <v>15</v>
      </c>
    </row>
    <row r="91" spans="1:15" ht="45" x14ac:dyDescent="0.25">
      <c r="A91" s="5"/>
      <c r="B91" s="7">
        <v>8</v>
      </c>
      <c r="C91" s="22" t="s">
        <v>344</v>
      </c>
      <c r="D91" s="6">
        <v>9675899466</v>
      </c>
      <c r="E91" s="4" t="s">
        <v>345</v>
      </c>
      <c r="F91" s="22">
        <v>248001</v>
      </c>
      <c r="G91" s="23" t="s">
        <v>346</v>
      </c>
      <c r="H91" s="23" t="s">
        <v>65</v>
      </c>
      <c r="I91" s="7">
        <v>1</v>
      </c>
      <c r="J91" s="7">
        <v>20</v>
      </c>
      <c r="K91" s="7"/>
      <c r="L91" s="19"/>
      <c r="M91" s="7">
        <v>6900</v>
      </c>
      <c r="N91" s="7">
        <f>IF(J91&lt;=0.5, 45,
   IF(J91&lt;=1, 50,
   IF(J91&lt;=1.5, 77,
   IF(J91&lt;=2, 92,
   IF(J91&lt;=10, 282, 420)))))</f>
        <v>420</v>
      </c>
      <c r="O91" s="6" t="s">
        <v>347</v>
      </c>
    </row>
    <row r="92" spans="1:15" ht="45" x14ac:dyDescent="0.25">
      <c r="A92" s="5"/>
      <c r="B92" s="7">
        <v>9</v>
      </c>
      <c r="C92" s="22" t="s">
        <v>348</v>
      </c>
      <c r="D92" s="6" t="s">
        <v>349</v>
      </c>
      <c r="E92" s="4" t="s">
        <v>350</v>
      </c>
      <c r="F92" s="22">
        <v>431705</v>
      </c>
      <c r="G92" s="23" t="s">
        <v>64</v>
      </c>
      <c r="H92" s="23" t="s">
        <v>28</v>
      </c>
      <c r="I92" s="7">
        <v>1</v>
      </c>
      <c r="J92" s="7">
        <v>1</v>
      </c>
      <c r="K92" s="7" t="s">
        <v>25</v>
      </c>
      <c r="L92" s="19"/>
      <c r="M92" s="7">
        <v>3000</v>
      </c>
      <c r="N92" s="7">
        <v>50</v>
      </c>
      <c r="O92" s="6" t="s">
        <v>73</v>
      </c>
    </row>
    <row r="93" spans="1:15" x14ac:dyDescent="0.25">
      <c r="A93" s="5"/>
      <c r="B93" s="2" t="s">
        <v>0</v>
      </c>
      <c r="C93" s="2" t="s">
        <v>1</v>
      </c>
      <c r="D93" s="2" t="s">
        <v>2</v>
      </c>
      <c r="E93" s="3" t="s">
        <v>3</v>
      </c>
      <c r="F93" s="2" t="s">
        <v>4</v>
      </c>
      <c r="G93" s="2" t="s">
        <v>5</v>
      </c>
      <c r="H93" s="2" t="s">
        <v>6</v>
      </c>
      <c r="I93" s="2" t="s">
        <v>7</v>
      </c>
      <c r="J93" s="2" t="s">
        <v>8</v>
      </c>
      <c r="K93" s="2" t="s">
        <v>9</v>
      </c>
      <c r="L93" s="2" t="s">
        <v>10</v>
      </c>
      <c r="M93" s="2" t="s">
        <v>14</v>
      </c>
      <c r="N93" s="2" t="s">
        <v>11</v>
      </c>
      <c r="O93" s="2" t="s">
        <v>12</v>
      </c>
    </row>
    <row r="94" spans="1:15" ht="45" x14ac:dyDescent="0.25">
      <c r="A94" s="5" t="s">
        <v>385</v>
      </c>
      <c r="B94" s="7">
        <v>1</v>
      </c>
      <c r="C94" s="22" t="s">
        <v>353</v>
      </c>
      <c r="D94" s="6">
        <v>9511794668</v>
      </c>
      <c r="E94" s="4" t="s">
        <v>354</v>
      </c>
      <c r="F94" s="22">
        <v>440009</v>
      </c>
      <c r="G94" s="23" t="s">
        <v>355</v>
      </c>
      <c r="H94" s="23" t="s">
        <v>18</v>
      </c>
      <c r="I94" s="7">
        <v>1</v>
      </c>
      <c r="J94" s="7">
        <v>2</v>
      </c>
      <c r="K94" s="7"/>
      <c r="L94" s="19"/>
      <c r="M94" s="7">
        <v>590</v>
      </c>
      <c r="N94" s="8">
        <f t="shared" ref="N94:N102" si="10">IF(J94&lt;=0.5, 45,
   IF(J94&lt;=1, 50,
   IF(J94&lt;=1.5, 77,
   IF(J94&lt;=2, 92,
   IF(J94&lt;=10, 282, 420)))))</f>
        <v>92</v>
      </c>
      <c r="O94" s="6" t="s">
        <v>356</v>
      </c>
    </row>
    <row r="95" spans="1:15" ht="75" x14ac:dyDescent="0.25">
      <c r="A95" s="5"/>
      <c r="B95" s="7">
        <v>2</v>
      </c>
      <c r="C95" s="22" t="s">
        <v>357</v>
      </c>
      <c r="D95" s="6">
        <v>9827900130</v>
      </c>
      <c r="E95" s="4" t="s">
        <v>358</v>
      </c>
      <c r="F95" s="22">
        <v>760004</v>
      </c>
      <c r="G95" s="23" t="s">
        <v>359</v>
      </c>
      <c r="H95" s="23" t="s">
        <v>50</v>
      </c>
      <c r="I95" s="7">
        <v>2</v>
      </c>
      <c r="J95" s="7">
        <v>29</v>
      </c>
      <c r="K95" s="7"/>
      <c r="L95" s="19"/>
      <c r="M95" s="7">
        <v>9100</v>
      </c>
      <c r="N95" s="8">
        <v>609</v>
      </c>
      <c r="O95" s="6" t="s">
        <v>294</v>
      </c>
    </row>
    <row r="96" spans="1:15" ht="60" x14ac:dyDescent="0.25">
      <c r="A96" s="5"/>
      <c r="B96" s="12">
        <v>3</v>
      </c>
      <c r="C96" s="20" t="s">
        <v>360</v>
      </c>
      <c r="D96" s="9">
        <v>9016274430</v>
      </c>
      <c r="E96" s="10" t="s">
        <v>361</v>
      </c>
      <c r="F96" s="20">
        <v>761029</v>
      </c>
      <c r="G96" s="21" t="s">
        <v>359</v>
      </c>
      <c r="H96" s="21" t="s">
        <v>50</v>
      </c>
      <c r="I96" s="12">
        <v>1</v>
      </c>
      <c r="J96" s="12">
        <v>21</v>
      </c>
      <c r="K96" s="12"/>
      <c r="L96" s="13" t="s">
        <v>362</v>
      </c>
      <c r="M96" s="12">
        <v>7100</v>
      </c>
      <c r="N96" s="11">
        <v>741</v>
      </c>
      <c r="O96" s="9" t="s">
        <v>294</v>
      </c>
    </row>
    <row r="97" spans="1:15" ht="135" x14ac:dyDescent="0.25">
      <c r="A97" s="5"/>
      <c r="B97" s="14">
        <v>4</v>
      </c>
      <c r="C97" s="26" t="s">
        <v>363</v>
      </c>
      <c r="D97" s="18" t="s">
        <v>364</v>
      </c>
      <c r="E97" s="15" t="s">
        <v>365</v>
      </c>
      <c r="F97" s="26">
        <v>152001</v>
      </c>
      <c r="G97" s="27" t="s">
        <v>366</v>
      </c>
      <c r="H97" s="27" t="s">
        <v>40</v>
      </c>
      <c r="I97" s="14">
        <v>2</v>
      </c>
      <c r="J97" s="14">
        <v>37</v>
      </c>
      <c r="K97" s="14"/>
      <c r="L97" s="16" t="s">
        <v>367</v>
      </c>
      <c r="M97" s="14">
        <v>13800</v>
      </c>
      <c r="N97" s="17">
        <v>0</v>
      </c>
      <c r="O97" s="18" t="s">
        <v>368</v>
      </c>
    </row>
    <row r="98" spans="1:15" ht="90" x14ac:dyDescent="0.25">
      <c r="A98" s="5"/>
      <c r="B98" s="12">
        <v>5</v>
      </c>
      <c r="C98" s="20" t="s">
        <v>56</v>
      </c>
      <c r="D98" s="9">
        <v>9093949340</v>
      </c>
      <c r="E98" s="10" t="s">
        <v>369</v>
      </c>
      <c r="F98" s="20">
        <v>713212</v>
      </c>
      <c r="G98" s="21" t="s">
        <v>370</v>
      </c>
      <c r="H98" s="21" t="s">
        <v>16</v>
      </c>
      <c r="I98" s="12">
        <v>3</v>
      </c>
      <c r="J98" s="12">
        <v>56</v>
      </c>
      <c r="K98" s="12"/>
      <c r="L98" s="13" t="s">
        <v>362</v>
      </c>
      <c r="M98" s="12">
        <v>29160</v>
      </c>
      <c r="N98" s="11">
        <v>1476</v>
      </c>
      <c r="O98" s="9" t="s">
        <v>15</v>
      </c>
    </row>
    <row r="99" spans="1:15" ht="60" x14ac:dyDescent="0.25">
      <c r="A99" s="5"/>
      <c r="B99" s="7">
        <v>6</v>
      </c>
      <c r="C99" s="22" t="s">
        <v>67</v>
      </c>
      <c r="D99" s="6">
        <v>8860453706</v>
      </c>
      <c r="E99" s="4" t="s">
        <v>371</v>
      </c>
      <c r="F99" s="22">
        <v>284001</v>
      </c>
      <c r="G99" s="23" t="s">
        <v>68</v>
      </c>
      <c r="H99" s="23" t="s">
        <v>60</v>
      </c>
      <c r="I99" s="7">
        <v>1</v>
      </c>
      <c r="J99" s="7">
        <v>10</v>
      </c>
      <c r="K99" s="7"/>
      <c r="L99" s="19"/>
      <c r="M99" s="7">
        <v>4700</v>
      </c>
      <c r="N99" s="8">
        <f t="shared" si="10"/>
        <v>282</v>
      </c>
      <c r="O99" s="6" t="s">
        <v>15</v>
      </c>
    </row>
    <row r="100" spans="1:15" ht="135" x14ac:dyDescent="0.25">
      <c r="A100" s="5"/>
      <c r="B100" s="14">
        <v>7</v>
      </c>
      <c r="C100" s="26" t="s">
        <v>372</v>
      </c>
      <c r="D100" s="18" t="s">
        <v>373</v>
      </c>
      <c r="E100" s="15" t="s">
        <v>374</v>
      </c>
      <c r="F100" s="26">
        <v>577536</v>
      </c>
      <c r="G100" s="27" t="s">
        <v>375</v>
      </c>
      <c r="H100" s="27" t="s">
        <v>22</v>
      </c>
      <c r="I100" s="14">
        <v>3</v>
      </c>
      <c r="J100" s="14">
        <v>48</v>
      </c>
      <c r="K100" s="14"/>
      <c r="L100" s="16" t="s">
        <v>53</v>
      </c>
      <c r="M100" s="14">
        <v>22500</v>
      </c>
      <c r="N100" s="17">
        <v>0</v>
      </c>
      <c r="O100" s="18" t="s">
        <v>15</v>
      </c>
    </row>
    <row r="101" spans="1:15" ht="75" x14ac:dyDescent="0.25">
      <c r="A101" s="5"/>
      <c r="B101" s="28">
        <v>8</v>
      </c>
      <c r="C101" s="29" t="s">
        <v>376</v>
      </c>
      <c r="D101" s="30" t="s">
        <v>377</v>
      </c>
      <c r="E101" s="31" t="s">
        <v>378</v>
      </c>
      <c r="F101" s="29">
        <v>689622</v>
      </c>
      <c r="G101" s="32" t="s">
        <v>379</v>
      </c>
      <c r="H101" s="32" t="s">
        <v>42</v>
      </c>
      <c r="I101" s="28">
        <v>1</v>
      </c>
      <c r="J101" s="28">
        <v>20</v>
      </c>
      <c r="K101" s="28"/>
      <c r="L101" s="33"/>
      <c r="M101" s="28">
        <v>9500</v>
      </c>
      <c r="N101" s="8">
        <f t="shared" si="10"/>
        <v>420</v>
      </c>
      <c r="O101" s="30" t="s">
        <v>380</v>
      </c>
    </row>
    <row r="102" spans="1:15" ht="45" x14ac:dyDescent="0.25">
      <c r="A102" s="5"/>
      <c r="B102" s="7">
        <v>9</v>
      </c>
      <c r="C102" s="7" t="s">
        <v>381</v>
      </c>
      <c r="D102" s="7" t="s">
        <v>382</v>
      </c>
      <c r="E102" s="4" t="s">
        <v>383</v>
      </c>
      <c r="F102" s="7">
        <v>678002</v>
      </c>
      <c r="G102" s="7" t="s">
        <v>384</v>
      </c>
      <c r="H102" s="32" t="s">
        <v>42</v>
      </c>
      <c r="I102" s="28">
        <v>1</v>
      </c>
      <c r="J102" s="28">
        <v>20</v>
      </c>
      <c r="K102" s="7"/>
      <c r="L102" s="7"/>
      <c r="M102" s="28">
        <v>9500</v>
      </c>
      <c r="N102" s="8">
        <f t="shared" si="10"/>
        <v>420</v>
      </c>
      <c r="O102" s="30" t="s">
        <v>380</v>
      </c>
    </row>
    <row r="103" spans="1:15" x14ac:dyDescent="0.25">
      <c r="A103" s="5"/>
      <c r="B103" s="2" t="s">
        <v>0</v>
      </c>
      <c r="C103" s="2" t="s">
        <v>1</v>
      </c>
      <c r="D103" s="2" t="s">
        <v>2</v>
      </c>
      <c r="E103" s="3" t="s">
        <v>3</v>
      </c>
      <c r="F103" s="2" t="s">
        <v>4</v>
      </c>
      <c r="G103" s="2" t="s">
        <v>5</v>
      </c>
      <c r="H103" s="2" t="s">
        <v>6</v>
      </c>
      <c r="I103" s="2" t="s">
        <v>7</v>
      </c>
      <c r="J103" s="2" t="s">
        <v>8</v>
      </c>
      <c r="K103" s="2" t="s">
        <v>9</v>
      </c>
      <c r="L103" s="2" t="s">
        <v>10</v>
      </c>
      <c r="M103" s="2" t="s">
        <v>14</v>
      </c>
      <c r="N103" s="2" t="s">
        <v>11</v>
      </c>
      <c r="O103" s="2" t="s">
        <v>12</v>
      </c>
    </row>
    <row r="104" spans="1:15" ht="90" x14ac:dyDescent="0.25">
      <c r="A104" s="5" t="s">
        <v>412</v>
      </c>
      <c r="B104" s="7">
        <v>1</v>
      </c>
      <c r="C104" s="22" t="s">
        <v>386</v>
      </c>
      <c r="D104" s="6">
        <v>9937507607</v>
      </c>
      <c r="E104" s="4" t="s">
        <v>387</v>
      </c>
      <c r="F104" s="22">
        <v>761027</v>
      </c>
      <c r="G104" s="23" t="s">
        <v>359</v>
      </c>
      <c r="H104" s="23" t="s">
        <v>50</v>
      </c>
      <c r="I104" s="7">
        <v>2</v>
      </c>
      <c r="J104" s="7">
        <v>42</v>
      </c>
      <c r="K104" s="7"/>
      <c r="L104" s="19"/>
      <c r="M104" s="7">
        <v>14200</v>
      </c>
      <c r="N104" s="8">
        <v>882</v>
      </c>
      <c r="O104" s="6" t="s">
        <v>294</v>
      </c>
    </row>
    <row r="105" spans="1:15" ht="120" x14ac:dyDescent="0.25">
      <c r="A105" s="5"/>
      <c r="B105" s="7">
        <v>2</v>
      </c>
      <c r="C105" s="22" t="s">
        <v>388</v>
      </c>
      <c r="D105" s="6">
        <v>8983212958</v>
      </c>
      <c r="E105" s="4" t="s">
        <v>389</v>
      </c>
      <c r="F105" s="22" t="s">
        <v>390</v>
      </c>
      <c r="G105" s="23" t="s">
        <v>391</v>
      </c>
      <c r="H105" s="23" t="s">
        <v>60</v>
      </c>
      <c r="I105" s="7">
        <v>1</v>
      </c>
      <c r="J105" s="7">
        <v>0.5</v>
      </c>
      <c r="K105" s="7"/>
      <c r="L105" s="19"/>
      <c r="M105" s="7">
        <v>1000</v>
      </c>
      <c r="N105" s="8">
        <f t="shared" ref="N105:N106" si="11">IF(J105&lt;=0.5, 45,
   IF(J105&lt;=1, 50,
   IF(J105&lt;=1.5, 77,
   IF(J105&lt;=2, 92,
   IF(J105&lt;=10, 282, 420)))))</f>
        <v>45</v>
      </c>
      <c r="O105" s="6" t="s">
        <v>392</v>
      </c>
    </row>
    <row r="106" spans="1:15" ht="75" x14ac:dyDescent="0.25">
      <c r="A106" s="5"/>
      <c r="B106" s="7">
        <v>3</v>
      </c>
      <c r="C106" s="22" t="s">
        <v>393</v>
      </c>
      <c r="D106" s="6">
        <v>9131445525</v>
      </c>
      <c r="E106" s="4" t="s">
        <v>394</v>
      </c>
      <c r="F106" s="22">
        <v>456010</v>
      </c>
      <c r="G106" s="23" t="s">
        <v>395</v>
      </c>
      <c r="H106" s="23" t="s">
        <v>19</v>
      </c>
      <c r="I106" s="7">
        <v>1</v>
      </c>
      <c r="J106" s="7">
        <v>20</v>
      </c>
      <c r="K106" s="7"/>
      <c r="L106" s="19"/>
      <c r="M106" s="7">
        <v>6900</v>
      </c>
      <c r="N106" s="8">
        <f t="shared" si="11"/>
        <v>420</v>
      </c>
      <c r="O106" s="6" t="s">
        <v>15</v>
      </c>
    </row>
    <row r="107" spans="1:15" ht="45" x14ac:dyDescent="0.25">
      <c r="A107" s="5"/>
      <c r="B107" s="7">
        <v>4</v>
      </c>
      <c r="C107" s="22" t="s">
        <v>396</v>
      </c>
      <c r="D107" s="6">
        <v>8446589871</v>
      </c>
      <c r="E107" s="4" t="s">
        <v>397</v>
      </c>
      <c r="F107" s="22">
        <v>136118</v>
      </c>
      <c r="G107" s="23" t="s">
        <v>398</v>
      </c>
      <c r="H107" s="23" t="s">
        <v>62</v>
      </c>
      <c r="I107" s="7">
        <v>1</v>
      </c>
      <c r="J107" s="7">
        <v>25</v>
      </c>
      <c r="K107" s="7"/>
      <c r="L107" s="19"/>
      <c r="M107" s="7">
        <v>8500</v>
      </c>
      <c r="N107" s="8">
        <v>525</v>
      </c>
      <c r="O107" s="6" t="s">
        <v>399</v>
      </c>
    </row>
    <row r="108" spans="1:15" ht="75" x14ac:dyDescent="0.25">
      <c r="A108" s="5"/>
      <c r="B108" s="7">
        <v>5</v>
      </c>
      <c r="C108" s="22" t="s">
        <v>400</v>
      </c>
      <c r="D108" s="6">
        <v>6353922461</v>
      </c>
      <c r="E108" s="4" t="s">
        <v>401</v>
      </c>
      <c r="F108" s="22">
        <v>390007</v>
      </c>
      <c r="G108" s="23" t="s">
        <v>402</v>
      </c>
      <c r="H108" s="23" t="s">
        <v>46</v>
      </c>
      <c r="I108" s="7">
        <v>1</v>
      </c>
      <c r="J108" s="7">
        <v>21</v>
      </c>
      <c r="K108" s="7"/>
      <c r="L108" s="19"/>
      <c r="M108" s="7">
        <v>8000</v>
      </c>
      <c r="N108" s="8">
        <v>441</v>
      </c>
      <c r="O108" s="6" t="s">
        <v>105</v>
      </c>
    </row>
    <row r="109" spans="1:15" ht="90" x14ac:dyDescent="0.25">
      <c r="A109" s="5"/>
      <c r="B109" s="7">
        <v>6</v>
      </c>
      <c r="C109" s="22" t="s">
        <v>403</v>
      </c>
      <c r="D109" s="6">
        <v>7972560979</v>
      </c>
      <c r="E109" s="4" t="s">
        <v>404</v>
      </c>
      <c r="F109" s="22">
        <v>440018</v>
      </c>
      <c r="G109" s="23" t="s">
        <v>405</v>
      </c>
      <c r="H109" s="23" t="s">
        <v>18</v>
      </c>
      <c r="I109" s="7">
        <v>1</v>
      </c>
      <c r="J109" s="7">
        <v>21</v>
      </c>
      <c r="K109" s="7"/>
      <c r="L109" s="19"/>
      <c r="M109" s="7">
        <v>8000</v>
      </c>
      <c r="N109" s="8">
        <v>441</v>
      </c>
      <c r="O109" s="6" t="s">
        <v>105</v>
      </c>
    </row>
    <row r="110" spans="1:15" ht="105" x14ac:dyDescent="0.25">
      <c r="A110" s="5"/>
      <c r="B110" s="7">
        <v>7</v>
      </c>
      <c r="C110" s="22" t="s">
        <v>406</v>
      </c>
      <c r="D110" s="6">
        <v>9337103792</v>
      </c>
      <c r="E110" s="4" t="s">
        <v>407</v>
      </c>
      <c r="F110" s="22">
        <v>751010</v>
      </c>
      <c r="G110" s="23" t="s">
        <v>408</v>
      </c>
      <c r="H110" s="23" t="s">
        <v>50</v>
      </c>
      <c r="I110" s="7">
        <v>1</v>
      </c>
      <c r="J110" s="7">
        <v>21</v>
      </c>
      <c r="K110" s="7"/>
      <c r="L110" s="19"/>
      <c r="M110" s="7">
        <v>8000</v>
      </c>
      <c r="N110" s="8">
        <v>441</v>
      </c>
      <c r="O110" s="6" t="s">
        <v>105</v>
      </c>
    </row>
    <row r="111" spans="1:15" ht="75" x14ac:dyDescent="0.25">
      <c r="A111" s="5"/>
      <c r="B111" s="28">
        <v>8</v>
      </c>
      <c r="C111" s="29" t="s">
        <v>409</v>
      </c>
      <c r="D111" s="30">
        <v>7328026555</v>
      </c>
      <c r="E111" s="31" t="s">
        <v>410</v>
      </c>
      <c r="F111" s="29">
        <v>756056</v>
      </c>
      <c r="G111" s="32" t="s">
        <v>411</v>
      </c>
      <c r="H111" s="23" t="s">
        <v>50</v>
      </c>
      <c r="I111" s="7">
        <v>1</v>
      </c>
      <c r="J111" s="7">
        <v>21</v>
      </c>
      <c r="K111" s="28"/>
      <c r="L111" s="33"/>
      <c r="M111" s="7">
        <v>8000</v>
      </c>
      <c r="N111" s="8">
        <v>441</v>
      </c>
      <c r="O111" s="6" t="s">
        <v>105</v>
      </c>
    </row>
    <row r="112" spans="1:15" x14ac:dyDescent="0.25">
      <c r="A112" s="5"/>
      <c r="B112" s="2" t="s">
        <v>0</v>
      </c>
      <c r="C112" s="2" t="s">
        <v>1</v>
      </c>
      <c r="D112" s="2" t="s">
        <v>2</v>
      </c>
      <c r="E112" s="3" t="s">
        <v>3</v>
      </c>
      <c r="F112" s="2" t="s">
        <v>4</v>
      </c>
      <c r="G112" s="2" t="s">
        <v>5</v>
      </c>
      <c r="H112" s="2" t="s">
        <v>6</v>
      </c>
      <c r="I112" s="2" t="s">
        <v>7</v>
      </c>
      <c r="J112" s="2" t="s">
        <v>8</v>
      </c>
      <c r="K112" s="2" t="s">
        <v>9</v>
      </c>
      <c r="L112" s="2" t="s">
        <v>10</v>
      </c>
      <c r="M112" s="2" t="s">
        <v>14</v>
      </c>
      <c r="N112" s="2" t="s">
        <v>11</v>
      </c>
      <c r="O112" s="2" t="s">
        <v>12</v>
      </c>
    </row>
    <row r="113" spans="1:15" ht="90" x14ac:dyDescent="0.25">
      <c r="A113" s="5" t="s">
        <v>422</v>
      </c>
      <c r="B113" s="7">
        <v>1</v>
      </c>
      <c r="C113" s="22" t="s">
        <v>413</v>
      </c>
      <c r="D113" s="6">
        <v>6394080140</v>
      </c>
      <c r="E113" s="4" t="s">
        <v>414</v>
      </c>
      <c r="F113" s="22">
        <v>273201</v>
      </c>
      <c r="G113" s="23" t="s">
        <v>415</v>
      </c>
      <c r="H113" s="23" t="s">
        <v>60</v>
      </c>
      <c r="I113" s="7">
        <v>2</v>
      </c>
      <c r="J113" s="7">
        <v>41</v>
      </c>
      <c r="K113" s="7"/>
      <c r="L113" s="19"/>
      <c r="M113" s="34">
        <v>17280</v>
      </c>
      <c r="N113" s="7">
        <v>861</v>
      </c>
      <c r="O113" s="6" t="s">
        <v>416</v>
      </c>
    </row>
    <row r="114" spans="1:15" ht="60" x14ac:dyDescent="0.25">
      <c r="A114" s="5"/>
      <c r="B114" s="7">
        <v>2</v>
      </c>
      <c r="C114" s="22" t="s">
        <v>417</v>
      </c>
      <c r="D114" s="6">
        <v>9983781307</v>
      </c>
      <c r="E114" s="4" t="s">
        <v>418</v>
      </c>
      <c r="F114" s="22">
        <v>302016</v>
      </c>
      <c r="G114" s="23" t="s">
        <v>54</v>
      </c>
      <c r="H114" s="23" t="s">
        <v>55</v>
      </c>
      <c r="I114" s="7">
        <v>1</v>
      </c>
      <c r="J114" s="7">
        <v>1</v>
      </c>
      <c r="K114" s="7"/>
      <c r="L114" s="19"/>
      <c r="M114" s="7">
        <v>270</v>
      </c>
      <c r="N114" s="7">
        <f t="shared" ref="N114:N115" si="12">IF(J114&lt;=0.5, 45,
   IF(J114&lt;=1, 50,
   IF(J114&lt;=1.5, 77,
   IF(J114&lt;=2, 92,
   IF(J114&lt;=10, 282, 420)))))</f>
        <v>50</v>
      </c>
      <c r="O114" s="6" t="s">
        <v>416</v>
      </c>
    </row>
    <row r="115" spans="1:15" ht="75" x14ac:dyDescent="0.25">
      <c r="A115" s="5"/>
      <c r="B115" s="7">
        <v>3</v>
      </c>
      <c r="C115" s="22" t="s">
        <v>419</v>
      </c>
      <c r="D115" s="6">
        <v>9918019034</v>
      </c>
      <c r="E115" s="4" t="s">
        <v>420</v>
      </c>
      <c r="F115" s="22">
        <v>274702</v>
      </c>
      <c r="G115" s="23" t="s">
        <v>421</v>
      </c>
      <c r="H115" s="23" t="s">
        <v>60</v>
      </c>
      <c r="I115" s="7">
        <v>1</v>
      </c>
      <c r="J115" s="7">
        <v>1</v>
      </c>
      <c r="K115" s="7"/>
      <c r="L115" s="19"/>
      <c r="M115" s="7">
        <v>270</v>
      </c>
      <c r="N115" s="7">
        <f t="shared" si="12"/>
        <v>50</v>
      </c>
      <c r="O115" s="6" t="s">
        <v>416</v>
      </c>
    </row>
    <row r="116" spans="1:15" x14ac:dyDescent="0.25">
      <c r="A116" s="5"/>
      <c r="B116" s="35" t="s">
        <v>0</v>
      </c>
      <c r="C116" s="36" t="s">
        <v>1</v>
      </c>
      <c r="D116" s="35" t="s">
        <v>2</v>
      </c>
      <c r="E116" s="36" t="s">
        <v>3</v>
      </c>
      <c r="F116" s="35" t="s">
        <v>4</v>
      </c>
      <c r="G116" s="35" t="s">
        <v>5</v>
      </c>
      <c r="H116" s="35" t="s">
        <v>6</v>
      </c>
      <c r="I116" s="35" t="s">
        <v>7</v>
      </c>
      <c r="J116" s="35" t="s">
        <v>8</v>
      </c>
      <c r="K116" s="35" t="s">
        <v>9</v>
      </c>
      <c r="L116" s="37" t="s">
        <v>10</v>
      </c>
      <c r="M116" s="2" t="s">
        <v>14</v>
      </c>
      <c r="N116" s="2" t="s">
        <v>11</v>
      </c>
      <c r="O116" s="2" t="s">
        <v>12</v>
      </c>
    </row>
    <row r="117" spans="1:15" ht="105" x14ac:dyDescent="0.25">
      <c r="A117" s="5" t="s">
        <v>422</v>
      </c>
      <c r="B117" s="12">
        <v>1</v>
      </c>
      <c r="C117" s="20" t="s">
        <v>423</v>
      </c>
      <c r="D117" s="9">
        <v>8977750123</v>
      </c>
      <c r="E117" s="10" t="s">
        <v>424</v>
      </c>
      <c r="F117" s="20">
        <v>521301</v>
      </c>
      <c r="G117" s="21" t="s">
        <v>425</v>
      </c>
      <c r="H117" s="21" t="s">
        <v>426</v>
      </c>
      <c r="I117" s="12">
        <v>1</v>
      </c>
      <c r="J117" s="12">
        <v>17</v>
      </c>
      <c r="K117" s="13" t="s">
        <v>39</v>
      </c>
      <c r="L117" s="13">
        <v>291099677</v>
      </c>
      <c r="M117" s="38">
        <v>9999</v>
      </c>
      <c r="N117" s="12">
        <v>720</v>
      </c>
      <c r="O117" s="9"/>
    </row>
    <row r="118" spans="1:15" ht="90" x14ac:dyDescent="0.25">
      <c r="A118" s="5"/>
      <c r="B118" s="12">
        <v>2</v>
      </c>
      <c r="C118" s="20" t="s">
        <v>427</v>
      </c>
      <c r="D118" s="9">
        <v>9849243705</v>
      </c>
      <c r="E118" s="10" t="s">
        <v>428</v>
      </c>
      <c r="F118" s="20">
        <v>516268</v>
      </c>
      <c r="G118" s="21" t="s">
        <v>429</v>
      </c>
      <c r="H118" s="21" t="s">
        <v>426</v>
      </c>
      <c r="I118" s="12">
        <v>1</v>
      </c>
      <c r="J118" s="12">
        <v>17</v>
      </c>
      <c r="K118" s="13" t="s">
        <v>39</v>
      </c>
      <c r="L118" s="13">
        <v>291099732</v>
      </c>
      <c r="M118" s="38">
        <v>9999</v>
      </c>
      <c r="N118" s="12">
        <v>720</v>
      </c>
      <c r="O118" s="9"/>
    </row>
    <row r="119" spans="1:15" ht="45" x14ac:dyDescent="0.25">
      <c r="A119" s="5"/>
      <c r="B119" s="7">
        <v>3</v>
      </c>
      <c r="C119" s="22" t="s">
        <v>430</v>
      </c>
      <c r="D119" s="6">
        <v>9599633857</v>
      </c>
      <c r="E119" s="4" t="s">
        <v>431</v>
      </c>
      <c r="F119" s="22">
        <v>110042</v>
      </c>
      <c r="G119" s="23" t="s">
        <v>432</v>
      </c>
      <c r="H119" s="23" t="s">
        <v>432</v>
      </c>
      <c r="I119" s="7">
        <v>1</v>
      </c>
      <c r="J119" s="7">
        <v>18</v>
      </c>
      <c r="K119" s="7"/>
      <c r="L119" s="19">
        <v>291099813</v>
      </c>
      <c r="M119" s="34">
        <v>9999</v>
      </c>
      <c r="N119" s="7">
        <v>420</v>
      </c>
      <c r="O119" s="6"/>
    </row>
    <row r="120" spans="1:15" ht="90" x14ac:dyDescent="0.25">
      <c r="A120" s="5"/>
      <c r="B120" s="12">
        <v>4</v>
      </c>
      <c r="C120" s="20" t="s">
        <v>433</v>
      </c>
      <c r="D120" s="9">
        <v>8328233647</v>
      </c>
      <c r="E120" s="10" t="s">
        <v>434</v>
      </c>
      <c r="F120" s="20">
        <v>521165</v>
      </c>
      <c r="G120" s="21" t="s">
        <v>435</v>
      </c>
      <c r="H120" s="21" t="s">
        <v>426</v>
      </c>
      <c r="I120" s="12">
        <v>1</v>
      </c>
      <c r="J120" s="12">
        <v>17</v>
      </c>
      <c r="K120" s="13" t="s">
        <v>39</v>
      </c>
      <c r="L120" s="13">
        <v>291099850</v>
      </c>
      <c r="M120" s="38">
        <v>9999</v>
      </c>
      <c r="N120" s="12">
        <v>720</v>
      </c>
      <c r="O120" s="9"/>
    </row>
    <row r="121" spans="1:15" ht="75" x14ac:dyDescent="0.25">
      <c r="A121" s="5"/>
      <c r="B121" s="12">
        <v>5</v>
      </c>
      <c r="C121" s="20" t="s">
        <v>436</v>
      </c>
      <c r="D121" s="9">
        <v>8105743754</v>
      </c>
      <c r="E121" s="10" t="s">
        <v>437</v>
      </c>
      <c r="F121" s="20">
        <v>563125</v>
      </c>
      <c r="G121" s="21" t="s">
        <v>438</v>
      </c>
      <c r="H121" s="21" t="s">
        <v>439</v>
      </c>
      <c r="I121" s="12">
        <v>1</v>
      </c>
      <c r="J121" s="12">
        <v>17</v>
      </c>
      <c r="K121" s="13" t="s">
        <v>39</v>
      </c>
      <c r="L121" s="13">
        <v>291099977</v>
      </c>
      <c r="M121" s="38">
        <v>9999</v>
      </c>
      <c r="N121" s="12">
        <v>720</v>
      </c>
      <c r="O121" s="9"/>
    </row>
    <row r="122" spans="1:15" ht="45" x14ac:dyDescent="0.25">
      <c r="A122" s="5"/>
      <c r="B122" s="12">
        <v>6</v>
      </c>
      <c r="C122" s="20" t="s">
        <v>413</v>
      </c>
      <c r="D122" s="9">
        <v>6394080140</v>
      </c>
      <c r="E122" s="10" t="s">
        <v>440</v>
      </c>
      <c r="F122" s="20">
        <v>273201</v>
      </c>
      <c r="G122" s="21" t="s">
        <v>441</v>
      </c>
      <c r="H122" s="21" t="s">
        <v>442</v>
      </c>
      <c r="I122" s="12">
        <v>2</v>
      </c>
      <c r="J122" s="12">
        <v>42</v>
      </c>
      <c r="K122" s="13" t="s">
        <v>39</v>
      </c>
      <c r="L122" s="13">
        <v>291100118</v>
      </c>
      <c r="M122" s="38">
        <v>24999</v>
      </c>
      <c r="N122" s="12">
        <v>1182</v>
      </c>
      <c r="O122" s="9"/>
    </row>
    <row r="123" spans="1:15" ht="105" x14ac:dyDescent="0.25">
      <c r="A123" s="5"/>
      <c r="B123" s="7">
        <v>7</v>
      </c>
      <c r="C123" s="22" t="s">
        <v>443</v>
      </c>
      <c r="D123" s="6" t="s">
        <v>444</v>
      </c>
      <c r="E123" s="4" t="s">
        <v>445</v>
      </c>
      <c r="F123" s="22">
        <v>600088</v>
      </c>
      <c r="G123" s="23" t="s">
        <v>446</v>
      </c>
      <c r="H123" s="23" t="s">
        <v>33</v>
      </c>
      <c r="I123" s="7">
        <v>1</v>
      </c>
      <c r="J123" s="7">
        <v>21</v>
      </c>
      <c r="K123" s="7"/>
      <c r="L123" s="19">
        <v>291100157</v>
      </c>
      <c r="M123" s="34">
        <v>12999</v>
      </c>
      <c r="N123" s="7">
        <v>441</v>
      </c>
      <c r="O123" s="6"/>
    </row>
    <row r="124" spans="1:15" ht="60" x14ac:dyDescent="0.25">
      <c r="A124" s="5"/>
      <c r="B124" s="7">
        <v>8</v>
      </c>
      <c r="C124" s="22" t="s">
        <v>447</v>
      </c>
      <c r="D124" s="6" t="s">
        <v>448</v>
      </c>
      <c r="E124" s="4" t="s">
        <v>449</v>
      </c>
      <c r="F124" s="22">
        <v>302016</v>
      </c>
      <c r="G124" s="23" t="s">
        <v>54</v>
      </c>
      <c r="H124" s="23" t="s">
        <v>450</v>
      </c>
      <c r="I124" s="7">
        <v>1</v>
      </c>
      <c r="J124" s="7">
        <v>1</v>
      </c>
      <c r="K124" s="7"/>
      <c r="L124" s="19">
        <v>363483370511</v>
      </c>
      <c r="M124" s="34">
        <v>999</v>
      </c>
      <c r="N124" s="7">
        <v>50</v>
      </c>
      <c r="O124" s="6"/>
    </row>
    <row r="125" spans="1:15" ht="60" x14ac:dyDescent="0.25">
      <c r="A125" s="5"/>
      <c r="B125" s="7">
        <v>9</v>
      </c>
      <c r="C125" s="22" t="s">
        <v>419</v>
      </c>
      <c r="D125" s="6" t="s">
        <v>451</v>
      </c>
      <c r="E125" s="4" t="s">
        <v>452</v>
      </c>
      <c r="F125" s="22">
        <v>274702</v>
      </c>
      <c r="G125" s="23" t="s">
        <v>453</v>
      </c>
      <c r="H125" s="23" t="s">
        <v>442</v>
      </c>
      <c r="I125" s="7">
        <v>1</v>
      </c>
      <c r="J125" s="7">
        <v>1</v>
      </c>
      <c r="K125" s="7"/>
      <c r="L125" s="19">
        <v>363483371440</v>
      </c>
      <c r="M125" s="34">
        <v>999</v>
      </c>
      <c r="N125" s="7">
        <v>50</v>
      </c>
      <c r="O125" s="6"/>
    </row>
    <row r="126" spans="1:15" x14ac:dyDescent="0.25">
      <c r="A126" s="5"/>
      <c r="B126" s="2" t="s">
        <v>0</v>
      </c>
      <c r="C126" s="2" t="s">
        <v>1</v>
      </c>
      <c r="D126" s="2" t="s">
        <v>2</v>
      </c>
      <c r="E126" s="3" t="s">
        <v>3</v>
      </c>
      <c r="F126" s="2" t="s">
        <v>4</v>
      </c>
      <c r="G126" s="2" t="s">
        <v>5</v>
      </c>
      <c r="H126" s="2" t="s">
        <v>6</v>
      </c>
      <c r="I126" s="2" t="s">
        <v>7</v>
      </c>
      <c r="J126" s="2" t="s">
        <v>8</v>
      </c>
      <c r="K126" s="2" t="s">
        <v>9</v>
      </c>
      <c r="L126" s="2" t="s">
        <v>10</v>
      </c>
      <c r="M126" s="2" t="s">
        <v>14</v>
      </c>
      <c r="N126" s="2" t="s">
        <v>11</v>
      </c>
      <c r="O126" s="2" t="s">
        <v>12</v>
      </c>
    </row>
    <row r="127" spans="1:15" ht="60" x14ac:dyDescent="0.25">
      <c r="A127" s="5" t="s">
        <v>502</v>
      </c>
      <c r="B127" s="12">
        <v>1</v>
      </c>
      <c r="C127" s="20" t="s">
        <v>454</v>
      </c>
      <c r="D127" s="9">
        <v>7070072700</v>
      </c>
      <c r="E127" s="10" t="s">
        <v>455</v>
      </c>
      <c r="F127" s="20">
        <v>841419</v>
      </c>
      <c r="G127" s="21" t="s">
        <v>456</v>
      </c>
      <c r="H127" s="21" t="s">
        <v>36</v>
      </c>
      <c r="I127" s="12">
        <v>1</v>
      </c>
      <c r="J127" s="12">
        <v>20</v>
      </c>
      <c r="K127" s="12"/>
      <c r="L127" s="13" t="s">
        <v>39</v>
      </c>
      <c r="M127" s="12">
        <v>6900</v>
      </c>
      <c r="N127" s="12">
        <v>720</v>
      </c>
      <c r="O127" s="9" t="s">
        <v>190</v>
      </c>
    </row>
    <row r="128" spans="1:15" ht="75" x14ac:dyDescent="0.25">
      <c r="A128" s="5"/>
      <c r="B128" s="14">
        <v>2</v>
      </c>
      <c r="C128" s="26" t="s">
        <v>457</v>
      </c>
      <c r="D128" s="18">
        <v>9096342889</v>
      </c>
      <c r="E128" s="15" t="s">
        <v>458</v>
      </c>
      <c r="F128" s="26">
        <v>500090</v>
      </c>
      <c r="G128" s="27" t="s">
        <v>29</v>
      </c>
      <c r="H128" s="27" t="s">
        <v>23</v>
      </c>
      <c r="I128" s="14">
        <v>1</v>
      </c>
      <c r="J128" s="14">
        <v>20</v>
      </c>
      <c r="K128" s="14"/>
      <c r="L128" s="16" t="s">
        <v>53</v>
      </c>
      <c r="M128" s="14">
        <v>6100</v>
      </c>
      <c r="N128" s="14">
        <v>0</v>
      </c>
      <c r="O128" s="18" t="s">
        <v>105</v>
      </c>
    </row>
    <row r="129" spans="1:15" ht="90" x14ac:dyDescent="0.25">
      <c r="A129" s="5"/>
      <c r="B129" s="7">
        <v>3</v>
      </c>
      <c r="C129" s="22" t="s">
        <v>459</v>
      </c>
      <c r="D129" s="6" t="s">
        <v>460</v>
      </c>
      <c r="E129" s="4" t="s">
        <v>461</v>
      </c>
      <c r="F129" s="22">
        <v>506001</v>
      </c>
      <c r="G129" s="23" t="s">
        <v>29</v>
      </c>
      <c r="H129" s="23" t="s">
        <v>23</v>
      </c>
      <c r="I129" s="7">
        <v>1</v>
      </c>
      <c r="J129" s="7">
        <v>20</v>
      </c>
      <c r="K129" s="7"/>
      <c r="L129" s="1"/>
      <c r="M129" s="7">
        <v>6100</v>
      </c>
      <c r="N129" s="7">
        <f t="shared" ref="N129:N140" si="13">IF(J129&lt;=0.5, 45,
   IF(J129&lt;=1, 50,
   IF(J129&lt;=1.5, 77,
   IF(J129&lt;=2, 92,
   IF(J129&lt;=10, 282, 420)))))</f>
        <v>420</v>
      </c>
      <c r="O129" s="6" t="s">
        <v>105</v>
      </c>
    </row>
    <row r="130" spans="1:15" ht="135" x14ac:dyDescent="0.25">
      <c r="A130" s="5"/>
      <c r="B130" s="12">
        <v>4</v>
      </c>
      <c r="C130" s="20" t="s">
        <v>462</v>
      </c>
      <c r="D130" s="9" t="s">
        <v>463</v>
      </c>
      <c r="E130" s="10" t="s">
        <v>464</v>
      </c>
      <c r="F130" s="20">
        <v>515201</v>
      </c>
      <c r="G130" s="21" t="s">
        <v>80</v>
      </c>
      <c r="H130" s="21" t="s">
        <v>31</v>
      </c>
      <c r="I130" s="12">
        <v>1</v>
      </c>
      <c r="J130" s="12">
        <v>20</v>
      </c>
      <c r="K130" s="12"/>
      <c r="L130" s="13" t="s">
        <v>39</v>
      </c>
      <c r="M130" s="12">
        <v>6100</v>
      </c>
      <c r="N130" s="12">
        <v>720</v>
      </c>
      <c r="O130" s="9" t="s">
        <v>105</v>
      </c>
    </row>
    <row r="131" spans="1:15" ht="150" x14ac:dyDescent="0.25">
      <c r="A131" s="5"/>
      <c r="B131" s="7">
        <v>5</v>
      </c>
      <c r="C131" s="22" t="s">
        <v>465</v>
      </c>
      <c r="D131" s="6">
        <v>8340931190</v>
      </c>
      <c r="E131" s="4" t="s">
        <v>466</v>
      </c>
      <c r="F131" s="22">
        <v>500072</v>
      </c>
      <c r="G131" s="23" t="s">
        <v>29</v>
      </c>
      <c r="H131" s="23" t="s">
        <v>23</v>
      </c>
      <c r="I131" s="7">
        <v>1</v>
      </c>
      <c r="J131" s="7">
        <v>20</v>
      </c>
      <c r="K131" s="7"/>
      <c r="L131" s="1"/>
      <c r="M131" s="7">
        <v>6100</v>
      </c>
      <c r="N131" s="7">
        <f t="shared" si="13"/>
        <v>420</v>
      </c>
      <c r="O131" s="6" t="s">
        <v>105</v>
      </c>
    </row>
    <row r="132" spans="1:15" ht="105" x14ac:dyDescent="0.25">
      <c r="A132" s="5"/>
      <c r="B132" s="7">
        <v>6</v>
      </c>
      <c r="C132" s="22" t="s">
        <v>467</v>
      </c>
      <c r="D132" s="6" t="s">
        <v>468</v>
      </c>
      <c r="E132" s="4" t="s">
        <v>469</v>
      </c>
      <c r="F132" s="22">
        <v>518003</v>
      </c>
      <c r="G132" s="23" t="s">
        <v>32</v>
      </c>
      <c r="H132" s="23" t="s">
        <v>31</v>
      </c>
      <c r="I132" s="7">
        <v>1</v>
      </c>
      <c r="J132" s="7">
        <v>20</v>
      </c>
      <c r="K132" s="7"/>
      <c r="L132" s="1"/>
      <c r="M132" s="7">
        <v>6100</v>
      </c>
      <c r="N132" s="7">
        <f t="shared" si="13"/>
        <v>420</v>
      </c>
      <c r="O132" s="6" t="s">
        <v>105</v>
      </c>
    </row>
    <row r="133" spans="1:15" ht="90" x14ac:dyDescent="0.25">
      <c r="A133" s="5"/>
      <c r="B133" s="7">
        <v>7</v>
      </c>
      <c r="C133" s="22" t="s">
        <v>470</v>
      </c>
      <c r="D133" s="6" t="s">
        <v>471</v>
      </c>
      <c r="E133" s="4" t="s">
        <v>472</v>
      </c>
      <c r="F133" s="22">
        <v>500076</v>
      </c>
      <c r="G133" s="23" t="s">
        <v>29</v>
      </c>
      <c r="H133" s="23" t="s">
        <v>23</v>
      </c>
      <c r="I133" s="7">
        <v>1</v>
      </c>
      <c r="J133" s="7">
        <v>20</v>
      </c>
      <c r="K133" s="7"/>
      <c r="L133" s="1"/>
      <c r="M133" s="7">
        <v>6100</v>
      </c>
      <c r="N133" s="7">
        <f t="shared" si="13"/>
        <v>420</v>
      </c>
      <c r="O133" s="6" t="s">
        <v>105</v>
      </c>
    </row>
    <row r="134" spans="1:15" ht="75" x14ac:dyDescent="0.25">
      <c r="A134" s="5"/>
      <c r="B134" s="39">
        <v>8</v>
      </c>
      <c r="C134" s="40" t="s">
        <v>473</v>
      </c>
      <c r="D134" s="41" t="s">
        <v>474</v>
      </c>
      <c r="E134" s="42" t="s">
        <v>475</v>
      </c>
      <c r="F134" s="40">
        <v>505001</v>
      </c>
      <c r="G134" s="43" t="s">
        <v>476</v>
      </c>
      <c r="H134" s="21" t="s">
        <v>23</v>
      </c>
      <c r="I134" s="12">
        <v>1</v>
      </c>
      <c r="J134" s="12">
        <v>20</v>
      </c>
      <c r="K134" s="39"/>
      <c r="L134" s="13" t="s">
        <v>39</v>
      </c>
      <c r="M134" s="12">
        <v>6100</v>
      </c>
      <c r="N134" s="12">
        <v>720</v>
      </c>
      <c r="O134" s="9" t="s">
        <v>105</v>
      </c>
    </row>
    <row r="135" spans="1:15" ht="105" x14ac:dyDescent="0.25">
      <c r="A135" s="5"/>
      <c r="B135" s="12">
        <v>9</v>
      </c>
      <c r="C135" s="12" t="s">
        <v>477</v>
      </c>
      <c r="D135" s="9" t="s">
        <v>478</v>
      </c>
      <c r="E135" s="10" t="s">
        <v>479</v>
      </c>
      <c r="F135" s="12">
        <v>505001</v>
      </c>
      <c r="G135" s="43" t="s">
        <v>476</v>
      </c>
      <c r="H135" s="21" t="s">
        <v>23</v>
      </c>
      <c r="I135" s="12">
        <v>1</v>
      </c>
      <c r="J135" s="12">
        <v>20</v>
      </c>
      <c r="K135" s="12"/>
      <c r="L135" s="13" t="s">
        <v>39</v>
      </c>
      <c r="M135" s="12">
        <v>6100</v>
      </c>
      <c r="N135" s="12">
        <v>720</v>
      </c>
      <c r="O135" s="9" t="s">
        <v>105</v>
      </c>
    </row>
    <row r="136" spans="1:15" ht="90" x14ac:dyDescent="0.25">
      <c r="A136" s="5"/>
      <c r="B136" s="8">
        <v>10</v>
      </c>
      <c r="C136" s="44" t="s">
        <v>480</v>
      </c>
      <c r="D136" s="45" t="s">
        <v>481</v>
      </c>
      <c r="E136" s="46" t="s">
        <v>482</v>
      </c>
      <c r="F136" s="44">
        <v>505451</v>
      </c>
      <c r="G136" s="32" t="s">
        <v>476</v>
      </c>
      <c r="H136" s="23" t="s">
        <v>23</v>
      </c>
      <c r="I136" s="7">
        <v>1</v>
      </c>
      <c r="J136" s="7">
        <v>20</v>
      </c>
      <c r="K136" s="7"/>
      <c r="L136" s="47"/>
      <c r="M136" s="7">
        <v>6100</v>
      </c>
      <c r="N136" s="7">
        <f t="shared" si="13"/>
        <v>420</v>
      </c>
      <c r="O136" s="6" t="s">
        <v>105</v>
      </c>
    </row>
    <row r="137" spans="1:15" ht="105" x14ac:dyDescent="0.25">
      <c r="A137" s="5"/>
      <c r="B137" s="7">
        <v>11</v>
      </c>
      <c r="C137" s="22" t="s">
        <v>483</v>
      </c>
      <c r="D137" s="6">
        <v>9010461752</v>
      </c>
      <c r="E137" s="4" t="s">
        <v>484</v>
      </c>
      <c r="F137" s="22">
        <v>500050</v>
      </c>
      <c r="G137" s="23" t="s">
        <v>29</v>
      </c>
      <c r="H137" s="23" t="s">
        <v>23</v>
      </c>
      <c r="I137" s="7">
        <v>1</v>
      </c>
      <c r="J137" s="7">
        <v>20</v>
      </c>
      <c r="K137" s="7"/>
      <c r="L137" s="19"/>
      <c r="M137" s="7">
        <v>6100</v>
      </c>
      <c r="N137" s="7">
        <f t="shared" si="13"/>
        <v>420</v>
      </c>
      <c r="O137" s="6" t="s">
        <v>105</v>
      </c>
    </row>
    <row r="138" spans="1:15" ht="90" x14ac:dyDescent="0.25">
      <c r="A138" s="5"/>
      <c r="B138" s="7">
        <v>12</v>
      </c>
      <c r="C138" s="7" t="s">
        <v>485</v>
      </c>
      <c r="D138" s="7" t="s">
        <v>486</v>
      </c>
      <c r="E138" s="4" t="s">
        <v>487</v>
      </c>
      <c r="F138" s="7">
        <v>501121</v>
      </c>
      <c r="G138" s="7" t="s">
        <v>488</v>
      </c>
      <c r="H138" s="23" t="s">
        <v>23</v>
      </c>
      <c r="I138" s="7">
        <v>1</v>
      </c>
      <c r="J138" s="7">
        <v>10</v>
      </c>
      <c r="K138" s="7"/>
      <c r="L138" s="19"/>
      <c r="M138" s="7">
        <v>1500</v>
      </c>
      <c r="N138" s="7">
        <f t="shared" si="13"/>
        <v>282</v>
      </c>
      <c r="O138" s="6" t="s">
        <v>15</v>
      </c>
    </row>
    <row r="139" spans="1:15" ht="60" x14ac:dyDescent="0.25">
      <c r="A139" s="5"/>
      <c r="B139" s="12">
        <v>13</v>
      </c>
      <c r="C139" s="12" t="s">
        <v>489</v>
      </c>
      <c r="D139" s="12">
        <v>8016113696</v>
      </c>
      <c r="E139" s="10" t="s">
        <v>490</v>
      </c>
      <c r="F139" s="12">
        <v>736182</v>
      </c>
      <c r="G139" s="12" t="s">
        <v>57</v>
      </c>
      <c r="H139" s="12" t="s">
        <v>16</v>
      </c>
      <c r="I139" s="12">
        <v>2</v>
      </c>
      <c r="J139" s="12">
        <v>22</v>
      </c>
      <c r="K139" s="12"/>
      <c r="L139" s="13" t="s">
        <v>39</v>
      </c>
      <c r="M139" s="12">
        <v>8400</v>
      </c>
      <c r="N139" s="12">
        <v>762</v>
      </c>
      <c r="O139" s="9" t="s">
        <v>105</v>
      </c>
    </row>
    <row r="140" spans="1:15" ht="75" x14ac:dyDescent="0.25">
      <c r="A140" s="5"/>
      <c r="B140" s="7">
        <v>14</v>
      </c>
      <c r="C140" s="7" t="s">
        <v>491</v>
      </c>
      <c r="D140" s="7">
        <v>9111312967</v>
      </c>
      <c r="E140" s="4" t="s">
        <v>492</v>
      </c>
      <c r="F140" s="7">
        <v>462042</v>
      </c>
      <c r="G140" s="7" t="s">
        <v>193</v>
      </c>
      <c r="H140" s="7" t="s">
        <v>19</v>
      </c>
      <c r="I140" s="7">
        <v>1</v>
      </c>
      <c r="J140" s="7">
        <v>5</v>
      </c>
      <c r="K140" s="7"/>
      <c r="L140" s="7"/>
      <c r="M140" s="7">
        <v>1500</v>
      </c>
      <c r="N140" s="7">
        <f t="shared" si="13"/>
        <v>282</v>
      </c>
      <c r="O140" s="6" t="s">
        <v>15</v>
      </c>
    </row>
    <row r="141" spans="1:15" ht="105" x14ac:dyDescent="0.25">
      <c r="A141" s="5"/>
      <c r="B141" s="12">
        <v>15</v>
      </c>
      <c r="C141" s="9" t="s">
        <v>493</v>
      </c>
      <c r="D141" s="12">
        <v>8897551289</v>
      </c>
      <c r="E141" s="10" t="s">
        <v>494</v>
      </c>
      <c r="F141" s="12">
        <v>509001</v>
      </c>
      <c r="G141" s="12" t="s">
        <v>495</v>
      </c>
      <c r="H141" s="12" t="s">
        <v>23</v>
      </c>
      <c r="I141" s="12">
        <v>1</v>
      </c>
      <c r="J141" s="12">
        <v>20</v>
      </c>
      <c r="K141" s="12"/>
      <c r="L141" s="13" t="s">
        <v>39</v>
      </c>
      <c r="M141" s="12">
        <v>6100</v>
      </c>
      <c r="N141" s="12">
        <v>720</v>
      </c>
      <c r="O141" s="12" t="s">
        <v>105</v>
      </c>
    </row>
    <row r="142" spans="1:15" ht="105" x14ac:dyDescent="0.25">
      <c r="A142" s="5"/>
      <c r="B142" s="7">
        <v>16</v>
      </c>
      <c r="C142" s="7" t="s">
        <v>496</v>
      </c>
      <c r="D142" s="7">
        <v>7737610325</v>
      </c>
      <c r="E142" s="4" t="s">
        <v>497</v>
      </c>
      <c r="F142" s="7">
        <v>440034</v>
      </c>
      <c r="G142" s="7" t="s">
        <v>405</v>
      </c>
      <c r="H142" s="7" t="s">
        <v>18</v>
      </c>
      <c r="I142" s="7">
        <v>2</v>
      </c>
      <c r="J142" s="7">
        <v>29</v>
      </c>
      <c r="K142" s="7"/>
      <c r="L142" s="7"/>
      <c r="M142" s="7">
        <v>8888</v>
      </c>
      <c r="N142" s="7">
        <v>609</v>
      </c>
      <c r="O142" s="7" t="s">
        <v>498</v>
      </c>
    </row>
    <row r="143" spans="1:15" ht="120" x14ac:dyDescent="0.25">
      <c r="A143" s="5"/>
      <c r="B143" s="7">
        <v>17</v>
      </c>
      <c r="C143" s="6" t="s">
        <v>499</v>
      </c>
      <c r="D143" s="7" t="s">
        <v>500</v>
      </c>
      <c r="E143" s="4" t="s">
        <v>501</v>
      </c>
      <c r="F143" s="7">
        <v>560111</v>
      </c>
      <c r="G143" s="7" t="s">
        <v>78</v>
      </c>
      <c r="H143" s="7" t="s">
        <v>79</v>
      </c>
      <c r="I143" s="7">
        <v>1</v>
      </c>
      <c r="J143" s="7">
        <v>20</v>
      </c>
      <c r="K143" s="7" t="s">
        <v>25</v>
      </c>
      <c r="L143" s="19"/>
      <c r="M143" s="7">
        <v>21999</v>
      </c>
      <c r="N143" s="7">
        <v>420</v>
      </c>
      <c r="O143" s="7" t="s">
        <v>73</v>
      </c>
    </row>
    <row r="144" spans="1:15" x14ac:dyDescent="0.25">
      <c r="A144" s="5"/>
      <c r="B144" s="2" t="s">
        <v>0</v>
      </c>
      <c r="C144" s="2" t="s">
        <v>1</v>
      </c>
      <c r="D144" s="2" t="s">
        <v>2</v>
      </c>
      <c r="E144" s="3" t="s">
        <v>3</v>
      </c>
      <c r="F144" s="2" t="s">
        <v>4</v>
      </c>
      <c r="G144" s="2" t="s">
        <v>5</v>
      </c>
      <c r="H144" s="2" t="s">
        <v>6</v>
      </c>
      <c r="I144" s="2" t="s">
        <v>7</v>
      </c>
      <c r="J144" s="2" t="s">
        <v>8</v>
      </c>
      <c r="K144" s="2" t="s">
        <v>9</v>
      </c>
      <c r="L144" s="2" t="s">
        <v>10</v>
      </c>
      <c r="M144" s="2" t="s">
        <v>14</v>
      </c>
      <c r="N144" s="2" t="s">
        <v>11</v>
      </c>
      <c r="O144" s="2" t="s">
        <v>12</v>
      </c>
    </row>
    <row r="145" spans="1:15" ht="60" x14ac:dyDescent="0.25">
      <c r="A145" s="5" t="s">
        <v>323</v>
      </c>
      <c r="B145" s="7">
        <v>1</v>
      </c>
      <c r="C145" s="22" t="s">
        <v>504</v>
      </c>
      <c r="D145" s="6">
        <v>8926028692</v>
      </c>
      <c r="E145" s="4" t="s">
        <v>505</v>
      </c>
      <c r="F145" s="22">
        <v>761105</v>
      </c>
      <c r="G145" s="23" t="s">
        <v>359</v>
      </c>
      <c r="H145" s="23" t="s">
        <v>50</v>
      </c>
      <c r="I145" s="7">
        <v>1</v>
      </c>
      <c r="J145" s="7">
        <v>20</v>
      </c>
      <c r="K145" s="7"/>
      <c r="L145" s="19"/>
      <c r="M145" s="7">
        <v>6900</v>
      </c>
      <c r="N145" s="7">
        <f t="shared" ref="N145:N154" si="14">IF(J145&lt;=0.5, 45,
   IF(J145&lt;=1, 50,
   IF(J145&lt;=1.5, 77,
   IF(J145&lt;=2, 92,
   IF(J145&lt;=10, 282, 420)))))</f>
        <v>420</v>
      </c>
      <c r="O145" s="6" t="s">
        <v>291</v>
      </c>
    </row>
    <row r="146" spans="1:15" ht="90" x14ac:dyDescent="0.25">
      <c r="B146" s="7">
        <v>2</v>
      </c>
      <c r="C146" s="22" t="s">
        <v>84</v>
      </c>
      <c r="D146" s="6">
        <v>7004815305</v>
      </c>
      <c r="E146" s="4" t="s">
        <v>85</v>
      </c>
      <c r="F146" s="22">
        <v>828404</v>
      </c>
      <c r="G146" s="23" t="s">
        <v>86</v>
      </c>
      <c r="H146" s="23" t="s">
        <v>61</v>
      </c>
      <c r="I146" s="7">
        <v>1</v>
      </c>
      <c r="J146" s="7">
        <v>5</v>
      </c>
      <c r="K146" s="7"/>
      <c r="L146" s="19"/>
      <c r="M146" s="7">
        <v>1000</v>
      </c>
      <c r="N146" s="7">
        <f t="shared" si="14"/>
        <v>282</v>
      </c>
      <c r="O146" s="6" t="s">
        <v>17</v>
      </c>
    </row>
    <row r="147" spans="1:15" ht="45" x14ac:dyDescent="0.25">
      <c r="B147" s="7">
        <v>3</v>
      </c>
      <c r="C147" s="22" t="s">
        <v>506</v>
      </c>
      <c r="D147" s="6">
        <v>9815994212</v>
      </c>
      <c r="E147" s="4" t="s">
        <v>507</v>
      </c>
      <c r="F147" s="22">
        <v>140603</v>
      </c>
      <c r="G147" s="23" t="s">
        <v>508</v>
      </c>
      <c r="H147" s="23" t="s">
        <v>40</v>
      </c>
      <c r="I147" s="7">
        <v>1</v>
      </c>
      <c r="J147" s="7">
        <v>2</v>
      </c>
      <c r="K147" s="7"/>
      <c r="L147" s="1"/>
      <c r="M147" s="7">
        <v>710</v>
      </c>
      <c r="N147" s="7">
        <f t="shared" si="14"/>
        <v>92</v>
      </c>
      <c r="O147" s="6" t="s">
        <v>100</v>
      </c>
    </row>
    <row r="148" spans="1:15" ht="105" x14ac:dyDescent="0.25">
      <c r="B148" s="12">
        <v>4</v>
      </c>
      <c r="C148" s="20" t="s">
        <v>509</v>
      </c>
      <c r="D148" s="9" t="s">
        <v>510</v>
      </c>
      <c r="E148" s="10" t="s">
        <v>511</v>
      </c>
      <c r="F148" s="20">
        <v>623001</v>
      </c>
      <c r="G148" s="21" t="s">
        <v>512</v>
      </c>
      <c r="H148" s="21" t="s">
        <v>33</v>
      </c>
      <c r="I148" s="12">
        <v>1</v>
      </c>
      <c r="J148" s="12">
        <v>1</v>
      </c>
      <c r="K148" s="12"/>
      <c r="L148" s="13" t="s">
        <v>513</v>
      </c>
      <c r="M148" s="12">
        <v>40</v>
      </c>
      <c r="N148" s="12">
        <f t="shared" si="14"/>
        <v>50</v>
      </c>
      <c r="O148" s="9" t="s">
        <v>514</v>
      </c>
    </row>
    <row r="149" spans="1:15" ht="105" x14ac:dyDescent="0.25">
      <c r="B149" s="7">
        <v>5</v>
      </c>
      <c r="C149" s="22" t="s">
        <v>515</v>
      </c>
      <c r="D149" s="6">
        <v>7385457336</v>
      </c>
      <c r="E149" s="4" t="s">
        <v>516</v>
      </c>
      <c r="F149" s="22">
        <v>411039</v>
      </c>
      <c r="G149" s="23" t="s">
        <v>77</v>
      </c>
      <c r="H149" s="23" t="s">
        <v>18</v>
      </c>
      <c r="I149" s="7">
        <v>1</v>
      </c>
      <c r="J149" s="7">
        <v>1.5</v>
      </c>
      <c r="K149" s="7"/>
      <c r="L149" s="1"/>
      <c r="M149" s="7">
        <v>230</v>
      </c>
      <c r="N149" s="7">
        <f t="shared" si="14"/>
        <v>77</v>
      </c>
      <c r="O149" s="6" t="s">
        <v>300</v>
      </c>
    </row>
    <row r="150" spans="1:15" ht="105" x14ac:dyDescent="0.25">
      <c r="B150" s="7">
        <v>6</v>
      </c>
      <c r="C150" s="22" t="s">
        <v>517</v>
      </c>
      <c r="D150" s="6">
        <v>8219932326</v>
      </c>
      <c r="E150" s="4" t="s">
        <v>518</v>
      </c>
      <c r="F150" s="22">
        <v>176054</v>
      </c>
      <c r="G150" s="23" t="s">
        <v>519</v>
      </c>
      <c r="H150" s="23" t="s">
        <v>520</v>
      </c>
      <c r="I150" s="7">
        <v>1</v>
      </c>
      <c r="J150" s="7">
        <v>1.5</v>
      </c>
      <c r="K150" s="7"/>
      <c r="L150" s="1"/>
      <c r="M150" s="7">
        <v>750</v>
      </c>
      <c r="N150" s="7">
        <f t="shared" si="14"/>
        <v>77</v>
      </c>
      <c r="O150" s="6" t="s">
        <v>521</v>
      </c>
    </row>
    <row r="151" spans="1:15" ht="90" x14ac:dyDescent="0.25">
      <c r="B151" s="7">
        <v>7</v>
      </c>
      <c r="C151" s="22" t="s">
        <v>522</v>
      </c>
      <c r="D151" s="6" t="s">
        <v>523</v>
      </c>
      <c r="E151" s="4" t="s">
        <v>524</v>
      </c>
      <c r="F151" s="22">
        <v>452010</v>
      </c>
      <c r="G151" s="23" t="s">
        <v>58</v>
      </c>
      <c r="H151" s="23" t="s">
        <v>19</v>
      </c>
      <c r="I151" s="7">
        <v>1</v>
      </c>
      <c r="J151" s="7">
        <v>1.5</v>
      </c>
      <c r="K151" s="7"/>
      <c r="L151" s="1"/>
      <c r="M151" s="7">
        <v>750</v>
      </c>
      <c r="N151" s="7">
        <f t="shared" si="14"/>
        <v>77</v>
      </c>
      <c r="O151" s="6" t="s">
        <v>521</v>
      </c>
    </row>
    <row r="152" spans="1:15" ht="90" x14ac:dyDescent="0.25">
      <c r="B152" s="28">
        <v>8</v>
      </c>
      <c r="C152" s="29" t="s">
        <v>525</v>
      </c>
      <c r="D152" s="30">
        <v>8119997012</v>
      </c>
      <c r="E152" s="31" t="s">
        <v>526</v>
      </c>
      <c r="F152" s="29">
        <v>790101</v>
      </c>
      <c r="G152" s="32" t="s">
        <v>527</v>
      </c>
      <c r="H152" s="23" t="s">
        <v>528</v>
      </c>
      <c r="I152" s="7">
        <v>1</v>
      </c>
      <c r="J152" s="7">
        <v>1.5</v>
      </c>
      <c r="K152" s="28"/>
      <c r="L152" s="19"/>
      <c r="M152" s="7">
        <v>750</v>
      </c>
      <c r="N152" s="7">
        <f t="shared" si="14"/>
        <v>77</v>
      </c>
      <c r="O152" s="6" t="s">
        <v>521</v>
      </c>
    </row>
    <row r="153" spans="1:15" ht="105" x14ac:dyDescent="0.25">
      <c r="B153" s="7">
        <v>9</v>
      </c>
      <c r="C153" s="7" t="s">
        <v>529</v>
      </c>
      <c r="D153" s="6">
        <v>9811856423</v>
      </c>
      <c r="E153" s="4" t="s">
        <v>530</v>
      </c>
      <c r="F153" s="7">
        <v>201306</v>
      </c>
      <c r="G153" s="32" t="s">
        <v>531</v>
      </c>
      <c r="H153" s="23" t="s">
        <v>60</v>
      </c>
      <c r="I153" s="7">
        <v>1</v>
      </c>
      <c r="J153" s="7">
        <v>1.5</v>
      </c>
      <c r="K153" s="7"/>
      <c r="L153" s="19"/>
      <c r="M153" s="7">
        <v>750</v>
      </c>
      <c r="N153" s="7">
        <f t="shared" si="14"/>
        <v>77</v>
      </c>
      <c r="O153" s="6" t="s">
        <v>521</v>
      </c>
    </row>
    <row r="154" spans="1:15" ht="60" x14ac:dyDescent="0.25">
      <c r="B154" s="7">
        <v>10</v>
      </c>
      <c r="C154" s="22" t="s">
        <v>532</v>
      </c>
      <c r="D154" s="6">
        <v>8562082125</v>
      </c>
      <c r="E154" s="4" t="s">
        <v>533</v>
      </c>
      <c r="F154" s="22">
        <v>333001</v>
      </c>
      <c r="G154" s="23" t="s">
        <v>534</v>
      </c>
      <c r="H154" s="23" t="s">
        <v>55</v>
      </c>
      <c r="I154" s="7">
        <v>1</v>
      </c>
      <c r="J154" s="7">
        <v>1.5</v>
      </c>
      <c r="K154" s="7"/>
      <c r="L154" s="19"/>
      <c r="M154" s="7">
        <v>750</v>
      </c>
      <c r="N154" s="7">
        <f t="shared" si="14"/>
        <v>77</v>
      </c>
      <c r="O154" s="6" t="s">
        <v>521</v>
      </c>
    </row>
    <row r="155" spans="1:15" ht="135" x14ac:dyDescent="0.25">
      <c r="B155" s="8">
        <v>11</v>
      </c>
      <c r="C155" s="44" t="s">
        <v>535</v>
      </c>
      <c r="D155" s="45">
        <v>7545097955</v>
      </c>
      <c r="E155" s="46" t="s">
        <v>536</v>
      </c>
      <c r="F155" s="44">
        <v>802301</v>
      </c>
      <c r="G155" s="32" t="s">
        <v>537</v>
      </c>
      <c r="H155" s="23" t="s">
        <v>36</v>
      </c>
      <c r="I155" s="7">
        <v>1</v>
      </c>
      <c r="J155" s="7">
        <v>1.5</v>
      </c>
      <c r="K155" s="7"/>
      <c r="L155" s="47"/>
      <c r="M155" s="7">
        <v>750</v>
      </c>
      <c r="N155" s="7">
        <f>IF(J155&lt;=0.5, 45,
   IF(J155&lt;=1, 50,
   IF(J155&lt;=1.5, 77,
   IF(J155&lt;=2, 92,
   IF(J155&lt;=10, 282, 420)))))</f>
        <v>77</v>
      </c>
      <c r="O155" s="6" t="s">
        <v>521</v>
      </c>
    </row>
    <row r="156" spans="1:15" x14ac:dyDescent="0.25">
      <c r="B156" s="2" t="s">
        <v>0</v>
      </c>
      <c r="C156" s="2" t="s">
        <v>1</v>
      </c>
      <c r="D156" s="2" t="s">
        <v>2</v>
      </c>
      <c r="E156" s="3" t="s">
        <v>3</v>
      </c>
      <c r="F156" s="2" t="s">
        <v>4</v>
      </c>
      <c r="G156" s="2" t="s">
        <v>5</v>
      </c>
      <c r="H156" s="2" t="s">
        <v>6</v>
      </c>
      <c r="I156" s="2" t="s">
        <v>7</v>
      </c>
      <c r="J156" s="2" t="s">
        <v>8</v>
      </c>
      <c r="K156" s="2" t="s">
        <v>9</v>
      </c>
      <c r="L156" s="2" t="s">
        <v>10</v>
      </c>
      <c r="M156" s="2" t="s">
        <v>14</v>
      </c>
      <c r="N156" s="2" t="s">
        <v>11</v>
      </c>
      <c r="O156" s="2" t="s">
        <v>12</v>
      </c>
    </row>
    <row r="157" spans="1:15" ht="135" x14ac:dyDescent="0.25">
      <c r="A157" s="5" t="s">
        <v>352</v>
      </c>
      <c r="B157" s="7">
        <v>1</v>
      </c>
      <c r="C157" s="22" t="s">
        <v>363</v>
      </c>
      <c r="D157" s="6" t="s">
        <v>538</v>
      </c>
      <c r="E157" s="4" t="s">
        <v>365</v>
      </c>
      <c r="F157" s="22">
        <v>152001</v>
      </c>
      <c r="G157" s="23" t="s">
        <v>539</v>
      </c>
      <c r="H157" s="23" t="s">
        <v>40</v>
      </c>
      <c r="I157" s="7">
        <v>2</v>
      </c>
      <c r="J157" s="7">
        <v>36</v>
      </c>
      <c r="K157" s="7"/>
      <c r="L157" s="19"/>
      <c r="M157" s="7">
        <v>13800</v>
      </c>
      <c r="N157" s="7">
        <v>756</v>
      </c>
      <c r="O157" s="6" t="s">
        <v>540</v>
      </c>
    </row>
    <row r="158" spans="1:15" ht="30" x14ac:dyDescent="0.25">
      <c r="B158" s="7">
        <v>2</v>
      </c>
      <c r="C158" s="22" t="s">
        <v>541</v>
      </c>
      <c r="D158" s="6">
        <v>9422064808</v>
      </c>
      <c r="E158" s="4" t="s">
        <v>542</v>
      </c>
      <c r="F158" s="22">
        <v>415110</v>
      </c>
      <c r="G158" s="23" t="s">
        <v>543</v>
      </c>
      <c r="H158" s="23" t="s">
        <v>18</v>
      </c>
      <c r="I158" s="7">
        <v>1</v>
      </c>
      <c r="J158" s="7">
        <v>20</v>
      </c>
      <c r="K158" s="7"/>
      <c r="L158" s="19"/>
      <c r="M158" s="7">
        <v>6100</v>
      </c>
      <c r="N158" s="7">
        <f t="shared" ref="N158" si="15">IF(J158&lt;=0.5, 45,
   IF(J158&lt;=1, 50,
   IF(J158&lt;=1.5, 77,
   IF(J158&lt;=2, 92,
   IF(J158&lt;=10, 282, 420)))))</f>
        <v>420</v>
      </c>
      <c r="O158" s="6" t="s">
        <v>544</v>
      </c>
    </row>
    <row r="159" spans="1:15" s="25" customFormat="1" ht="45" x14ac:dyDescent="0.25">
      <c r="A159" s="57"/>
      <c r="B159" s="12">
        <v>3</v>
      </c>
      <c r="C159" s="20" t="s">
        <v>545</v>
      </c>
      <c r="D159" s="9">
        <v>7385336633</v>
      </c>
      <c r="E159" s="10" t="s">
        <v>546</v>
      </c>
      <c r="F159" s="20">
        <v>410502</v>
      </c>
      <c r="G159" s="21" t="s">
        <v>77</v>
      </c>
      <c r="H159" s="21" t="s">
        <v>18</v>
      </c>
      <c r="I159" s="12">
        <v>2</v>
      </c>
      <c r="J159" s="12">
        <v>34</v>
      </c>
      <c r="K159" s="13" t="s">
        <v>39</v>
      </c>
      <c r="L159" s="57"/>
      <c r="M159" s="12">
        <v>12000</v>
      </c>
      <c r="N159" s="12">
        <v>1014</v>
      </c>
      <c r="O159" s="9" t="s">
        <v>38</v>
      </c>
    </row>
    <row r="160" spans="1:15" x14ac:dyDescent="0.25">
      <c r="B160" s="2" t="s">
        <v>0</v>
      </c>
      <c r="C160" s="2" t="s">
        <v>1</v>
      </c>
      <c r="D160" s="2" t="s">
        <v>2</v>
      </c>
      <c r="E160" s="3" t="s">
        <v>3</v>
      </c>
      <c r="F160" s="2" t="s">
        <v>4</v>
      </c>
      <c r="G160" s="2" t="s">
        <v>5</v>
      </c>
      <c r="H160" s="2" t="s">
        <v>6</v>
      </c>
      <c r="I160" s="2" t="s">
        <v>7</v>
      </c>
      <c r="J160" s="2" t="s">
        <v>8</v>
      </c>
      <c r="K160" s="2" t="s">
        <v>9</v>
      </c>
      <c r="L160" s="2" t="s">
        <v>10</v>
      </c>
      <c r="M160" s="2" t="s">
        <v>14</v>
      </c>
      <c r="N160" s="2" t="s">
        <v>11</v>
      </c>
      <c r="O160" s="2" t="s">
        <v>12</v>
      </c>
    </row>
    <row r="161" spans="1:15" ht="105" x14ac:dyDescent="0.25">
      <c r="A161" s="5" t="s">
        <v>560</v>
      </c>
      <c r="B161" s="7">
        <v>1</v>
      </c>
      <c r="C161" s="22" t="s">
        <v>547</v>
      </c>
      <c r="D161" s="6" t="s">
        <v>548</v>
      </c>
      <c r="E161" s="4" t="s">
        <v>549</v>
      </c>
      <c r="F161" s="22">
        <v>506001</v>
      </c>
      <c r="G161" s="23" t="s">
        <v>550</v>
      </c>
      <c r="H161" s="23" t="s">
        <v>23</v>
      </c>
      <c r="I161" s="7">
        <v>1</v>
      </c>
      <c r="J161" s="7">
        <v>20</v>
      </c>
      <c r="K161" s="7"/>
      <c r="L161" s="19"/>
      <c r="M161" s="7">
        <v>6100</v>
      </c>
      <c r="N161" s="7">
        <f t="shared" ref="N161:N165" si="16">IF(J161&lt;=0.5, 45,
   IF(J161&lt;=1, 50,
   IF(J161&lt;=1.5, 77,
   IF(J161&lt;=2, 92,
   IF(J161&lt;=10, 282, 420)))))</f>
        <v>420</v>
      </c>
      <c r="O161" s="6" t="s">
        <v>15</v>
      </c>
    </row>
    <row r="162" spans="1:15" ht="180" x14ac:dyDescent="0.25">
      <c r="B162" s="7">
        <v>2</v>
      </c>
      <c r="C162" s="22" t="s">
        <v>551</v>
      </c>
      <c r="D162" s="6" t="s">
        <v>552</v>
      </c>
      <c r="E162" s="4" t="s">
        <v>553</v>
      </c>
      <c r="F162" s="22">
        <v>500056</v>
      </c>
      <c r="G162" s="23" t="s">
        <v>29</v>
      </c>
      <c r="H162" s="23" t="s">
        <v>23</v>
      </c>
      <c r="I162" s="7">
        <v>1</v>
      </c>
      <c r="J162" s="7">
        <v>20</v>
      </c>
      <c r="K162" s="7"/>
      <c r="L162" s="19"/>
      <c r="M162" s="7">
        <v>6100</v>
      </c>
      <c r="N162" s="7">
        <f t="shared" si="16"/>
        <v>420</v>
      </c>
      <c r="O162" s="6" t="s">
        <v>15</v>
      </c>
    </row>
    <row r="163" spans="1:15" ht="90" x14ac:dyDescent="0.25">
      <c r="B163" s="7">
        <v>3</v>
      </c>
      <c r="C163" s="22" t="s">
        <v>554</v>
      </c>
      <c r="D163" s="6">
        <v>9581543088</v>
      </c>
      <c r="E163" s="4" t="s">
        <v>555</v>
      </c>
      <c r="F163" s="22">
        <v>530011</v>
      </c>
      <c r="G163" s="23" t="s">
        <v>66</v>
      </c>
      <c r="H163" s="23" t="s">
        <v>31</v>
      </c>
      <c r="I163" s="7">
        <v>1</v>
      </c>
      <c r="J163" s="7">
        <v>20</v>
      </c>
      <c r="K163" s="7"/>
      <c r="L163" s="1"/>
      <c r="M163" s="7">
        <v>6100</v>
      </c>
      <c r="N163" s="7">
        <f t="shared" si="16"/>
        <v>420</v>
      </c>
      <c r="O163" s="6" t="s">
        <v>15</v>
      </c>
    </row>
    <row r="164" spans="1:15" ht="105" x14ac:dyDescent="0.25">
      <c r="B164" s="48">
        <v>4</v>
      </c>
      <c r="C164" s="49" t="s">
        <v>509</v>
      </c>
      <c r="D164" s="50" t="s">
        <v>510</v>
      </c>
      <c r="E164" s="51" t="s">
        <v>511</v>
      </c>
      <c r="F164" s="49">
        <v>623001</v>
      </c>
      <c r="G164" s="52" t="s">
        <v>512</v>
      </c>
      <c r="H164" s="52" t="s">
        <v>33</v>
      </c>
      <c r="I164" s="48">
        <v>1</v>
      </c>
      <c r="J164" s="48">
        <v>1</v>
      </c>
      <c r="K164" s="48"/>
      <c r="L164" s="53" t="s">
        <v>556</v>
      </c>
      <c r="M164" s="48">
        <v>40</v>
      </c>
      <c r="N164" s="48">
        <v>80</v>
      </c>
      <c r="O164" s="50" t="s">
        <v>514</v>
      </c>
    </row>
    <row r="165" spans="1:15" ht="60" x14ac:dyDescent="0.25">
      <c r="B165" s="7">
        <v>5</v>
      </c>
      <c r="C165" s="22" t="s">
        <v>557</v>
      </c>
      <c r="D165" s="6">
        <v>7666039601</v>
      </c>
      <c r="E165" s="4" t="s">
        <v>558</v>
      </c>
      <c r="F165" s="22">
        <v>415612</v>
      </c>
      <c r="G165" s="23" t="s">
        <v>559</v>
      </c>
      <c r="H165" s="23" t="s">
        <v>18</v>
      </c>
      <c r="I165" s="7">
        <v>1</v>
      </c>
      <c r="J165" s="7">
        <v>1</v>
      </c>
      <c r="K165" s="7"/>
      <c r="L165" s="1"/>
      <c r="M165" s="7">
        <v>1000</v>
      </c>
      <c r="N165" s="7">
        <f t="shared" si="16"/>
        <v>50</v>
      </c>
      <c r="O165" s="6" t="s">
        <v>73</v>
      </c>
    </row>
    <row r="166" spans="1:15" x14ac:dyDescent="0.25">
      <c r="B166" s="2" t="s">
        <v>0</v>
      </c>
      <c r="C166" s="2" t="s">
        <v>1</v>
      </c>
      <c r="D166" s="2" t="s">
        <v>2</v>
      </c>
      <c r="E166" s="3" t="s">
        <v>3</v>
      </c>
      <c r="F166" s="2" t="s">
        <v>4</v>
      </c>
      <c r="G166" s="2" t="s">
        <v>5</v>
      </c>
      <c r="H166" s="2" t="s">
        <v>6</v>
      </c>
      <c r="I166" s="2" t="s">
        <v>7</v>
      </c>
      <c r="J166" s="2" t="s">
        <v>8</v>
      </c>
      <c r="K166" s="2" t="s">
        <v>9</v>
      </c>
      <c r="L166" s="2" t="s">
        <v>10</v>
      </c>
      <c r="M166" s="2" t="s">
        <v>14</v>
      </c>
      <c r="N166" s="2" t="s">
        <v>11</v>
      </c>
      <c r="O166" s="2" t="s">
        <v>12</v>
      </c>
    </row>
    <row r="167" spans="1:15" ht="75" x14ac:dyDescent="0.25">
      <c r="A167" s="5" t="s">
        <v>565</v>
      </c>
      <c r="B167" s="48">
        <v>1</v>
      </c>
      <c r="C167" s="49" t="s">
        <v>561</v>
      </c>
      <c r="D167" s="50">
        <v>6002504019</v>
      </c>
      <c r="E167" s="51" t="s">
        <v>562</v>
      </c>
      <c r="F167" s="49">
        <v>788001</v>
      </c>
      <c r="G167" s="52" t="s">
        <v>563</v>
      </c>
      <c r="H167" s="52" t="s">
        <v>339</v>
      </c>
      <c r="I167" s="48">
        <v>1</v>
      </c>
      <c r="J167" s="48">
        <v>0.5</v>
      </c>
      <c r="K167" s="53" t="s">
        <v>564</v>
      </c>
      <c r="L167" s="53"/>
      <c r="M167" s="48">
        <v>50</v>
      </c>
      <c r="N167" s="48">
        <v>80</v>
      </c>
      <c r="O167" s="50" t="s">
        <v>300</v>
      </c>
    </row>
    <row r="168" spans="1:15" x14ac:dyDescent="0.25">
      <c r="B168" s="2" t="s">
        <v>0</v>
      </c>
      <c r="C168" s="2" t="s">
        <v>1</v>
      </c>
      <c r="D168" s="2" t="s">
        <v>2</v>
      </c>
      <c r="E168" s="3" t="s">
        <v>3</v>
      </c>
      <c r="F168" s="2" t="s">
        <v>4</v>
      </c>
      <c r="G168" s="2" t="s">
        <v>5</v>
      </c>
      <c r="H168" s="2" t="s">
        <v>6</v>
      </c>
      <c r="I168" s="2" t="s">
        <v>7</v>
      </c>
      <c r="J168" s="2" t="s">
        <v>8</v>
      </c>
      <c r="K168" s="2" t="s">
        <v>9</v>
      </c>
      <c r="L168" s="2" t="s">
        <v>10</v>
      </c>
      <c r="M168" s="2" t="s">
        <v>14</v>
      </c>
      <c r="N168" s="2" t="s">
        <v>11</v>
      </c>
      <c r="O168" s="2" t="s">
        <v>12</v>
      </c>
    </row>
    <row r="169" spans="1:15" ht="75" x14ac:dyDescent="0.25">
      <c r="A169" s="5" t="s">
        <v>503</v>
      </c>
      <c r="B169" s="12">
        <v>1</v>
      </c>
      <c r="C169" s="20" t="s">
        <v>566</v>
      </c>
      <c r="D169" s="9">
        <v>7666733082</v>
      </c>
      <c r="E169" s="10" t="s">
        <v>567</v>
      </c>
      <c r="F169" s="20">
        <v>761118</v>
      </c>
      <c r="G169" s="21" t="s">
        <v>568</v>
      </c>
      <c r="H169" s="21" t="s">
        <v>50</v>
      </c>
      <c r="I169" s="12">
        <v>2</v>
      </c>
      <c r="J169" s="12">
        <v>31</v>
      </c>
      <c r="K169" s="13"/>
      <c r="L169" s="13" t="s">
        <v>39</v>
      </c>
      <c r="M169" s="12">
        <v>1000</v>
      </c>
      <c r="N169" s="12">
        <v>951</v>
      </c>
      <c r="O169" s="9" t="s">
        <v>291</v>
      </c>
    </row>
    <row r="170" spans="1:15" ht="120" x14ac:dyDescent="0.25">
      <c r="B170" s="12">
        <v>2</v>
      </c>
      <c r="C170" s="20" t="s">
        <v>47</v>
      </c>
      <c r="D170" s="9">
        <v>9635922963</v>
      </c>
      <c r="E170" s="10" t="s">
        <v>48</v>
      </c>
      <c r="F170" s="20">
        <v>721145</v>
      </c>
      <c r="G170" s="21" t="s">
        <v>71</v>
      </c>
      <c r="H170" s="21" t="s">
        <v>16</v>
      </c>
      <c r="I170" s="12">
        <v>1</v>
      </c>
      <c r="J170" s="12">
        <v>20</v>
      </c>
      <c r="K170" s="12"/>
      <c r="L170" s="13" t="s">
        <v>39</v>
      </c>
      <c r="M170" s="12">
        <v>6900</v>
      </c>
      <c r="N170" s="12">
        <v>720</v>
      </c>
      <c r="O170" s="9" t="s">
        <v>20</v>
      </c>
    </row>
    <row r="171" spans="1:15" ht="90" x14ac:dyDescent="0.25">
      <c r="B171" s="14">
        <v>3</v>
      </c>
      <c r="C171" s="26" t="s">
        <v>569</v>
      </c>
      <c r="D171" s="18">
        <v>9822276117</v>
      </c>
      <c r="E171" s="15" t="s">
        <v>570</v>
      </c>
      <c r="F171" s="26">
        <v>415109</v>
      </c>
      <c r="G171" s="27" t="s">
        <v>571</v>
      </c>
      <c r="H171" s="27" t="s">
        <v>18</v>
      </c>
      <c r="I171" s="14">
        <v>1</v>
      </c>
      <c r="J171" s="14">
        <v>0.5</v>
      </c>
      <c r="K171" s="14"/>
      <c r="L171" s="16" t="s">
        <v>572</v>
      </c>
      <c r="M171" s="14">
        <v>1000</v>
      </c>
      <c r="N171" s="14">
        <v>0</v>
      </c>
      <c r="O171" s="18" t="s">
        <v>514</v>
      </c>
    </row>
    <row r="172" spans="1:15" ht="60" x14ac:dyDescent="0.25">
      <c r="B172" s="14">
        <v>4</v>
      </c>
      <c r="C172" s="26" t="s">
        <v>573</v>
      </c>
      <c r="D172" s="18">
        <v>9030889606</v>
      </c>
      <c r="E172" s="15" t="s">
        <v>81</v>
      </c>
      <c r="F172" s="26">
        <v>509001</v>
      </c>
      <c r="G172" s="27" t="s">
        <v>82</v>
      </c>
      <c r="H172" s="27" t="s">
        <v>23</v>
      </c>
      <c r="I172" s="14">
        <v>1</v>
      </c>
      <c r="J172" s="14">
        <v>25</v>
      </c>
      <c r="K172" s="14"/>
      <c r="L172" s="16" t="s">
        <v>572</v>
      </c>
      <c r="M172" s="14">
        <v>6100</v>
      </c>
      <c r="N172" s="14">
        <v>0</v>
      </c>
      <c r="O172" s="18" t="s">
        <v>574</v>
      </c>
    </row>
    <row r="173" spans="1:15" ht="105" x14ac:dyDescent="0.25">
      <c r="B173" s="7">
        <v>5</v>
      </c>
      <c r="C173" s="22" t="s">
        <v>575</v>
      </c>
      <c r="D173" s="6" t="s">
        <v>576</v>
      </c>
      <c r="E173" s="4" t="s">
        <v>577</v>
      </c>
      <c r="F173" s="22">
        <v>491441</v>
      </c>
      <c r="G173" s="54" t="s">
        <v>578</v>
      </c>
      <c r="H173" s="23" t="s">
        <v>51</v>
      </c>
      <c r="I173" s="7">
        <v>1</v>
      </c>
      <c r="J173" s="7">
        <v>21</v>
      </c>
      <c r="K173" s="7"/>
      <c r="L173" s="1"/>
      <c r="M173" s="7">
        <v>8000</v>
      </c>
      <c r="N173" s="7">
        <v>441</v>
      </c>
      <c r="O173" s="6" t="s">
        <v>579</v>
      </c>
    </row>
    <row r="174" spans="1:15" ht="120" x14ac:dyDescent="0.25">
      <c r="B174" s="12">
        <v>6</v>
      </c>
      <c r="C174" s="20" t="s">
        <v>580</v>
      </c>
      <c r="D174" s="9">
        <v>8339910448</v>
      </c>
      <c r="E174" s="10" t="s">
        <v>581</v>
      </c>
      <c r="F174" s="20">
        <v>755005</v>
      </c>
      <c r="G174" s="21" t="s">
        <v>49</v>
      </c>
      <c r="H174" s="21" t="s">
        <v>50</v>
      </c>
      <c r="I174" s="12">
        <v>1</v>
      </c>
      <c r="J174" s="12">
        <v>21</v>
      </c>
      <c r="K174" s="12"/>
      <c r="L174" s="13" t="s">
        <v>39</v>
      </c>
      <c r="M174" s="12">
        <v>7100</v>
      </c>
      <c r="N174" s="12">
        <v>741</v>
      </c>
      <c r="O174" s="9" t="s">
        <v>294</v>
      </c>
    </row>
    <row r="175" spans="1:15" x14ac:dyDescent="0.25">
      <c r="B175" s="2" t="s">
        <v>0</v>
      </c>
      <c r="C175" s="2" t="s">
        <v>1</v>
      </c>
      <c r="D175" s="2" t="s">
        <v>2</v>
      </c>
      <c r="E175" s="3" t="s">
        <v>3</v>
      </c>
      <c r="F175" s="2" t="s">
        <v>4</v>
      </c>
      <c r="G175" s="2" t="s">
        <v>5</v>
      </c>
      <c r="H175" s="2" t="s">
        <v>6</v>
      </c>
      <c r="I175" s="2" t="s">
        <v>7</v>
      </c>
      <c r="J175" s="2" t="s">
        <v>8</v>
      </c>
      <c r="K175" s="2" t="s">
        <v>9</v>
      </c>
      <c r="L175" s="2" t="s">
        <v>10</v>
      </c>
      <c r="M175" s="2" t="s">
        <v>14</v>
      </c>
      <c r="N175" s="2" t="s">
        <v>11</v>
      </c>
      <c r="O175" s="2" t="s">
        <v>12</v>
      </c>
    </row>
    <row r="176" spans="1:15" ht="105" x14ac:dyDescent="0.25">
      <c r="A176" s="5" t="s">
        <v>589</v>
      </c>
      <c r="B176" s="7">
        <v>1</v>
      </c>
      <c r="C176" s="22" t="s">
        <v>582</v>
      </c>
      <c r="D176" s="6">
        <v>9324841629</v>
      </c>
      <c r="E176" s="4" t="s">
        <v>583</v>
      </c>
      <c r="F176" s="22">
        <v>400708</v>
      </c>
      <c r="G176" s="23" t="s">
        <v>27</v>
      </c>
      <c r="H176" s="23" t="s">
        <v>18</v>
      </c>
      <c r="I176" s="7">
        <v>1</v>
      </c>
      <c r="J176" s="7">
        <v>20</v>
      </c>
      <c r="K176" s="19"/>
      <c r="L176" s="19"/>
      <c r="M176" s="7">
        <v>6100</v>
      </c>
      <c r="N176" s="7">
        <f t="shared" ref="N176" si="17">IF(J176&lt;=0.5, 45,
   IF(J176&lt;=1, 50,
   IF(J176&lt;=1.5, 77,
   IF(J176&lt;=2, 92,
   IF(J176&lt;=10, 282, 420)))))</f>
        <v>420</v>
      </c>
      <c r="O176" s="6" t="s">
        <v>584</v>
      </c>
    </row>
    <row r="177" spans="2:15" ht="60" x14ac:dyDescent="0.25">
      <c r="B177" s="7">
        <v>2</v>
      </c>
      <c r="C177" s="22" t="s">
        <v>585</v>
      </c>
      <c r="D177" s="6">
        <v>9537853222</v>
      </c>
      <c r="E177" s="4" t="s">
        <v>586</v>
      </c>
      <c r="F177" s="22">
        <v>370201</v>
      </c>
      <c r="G177" s="23" t="s">
        <v>587</v>
      </c>
      <c r="H177" s="23" t="s">
        <v>46</v>
      </c>
      <c r="I177" s="7">
        <v>1</v>
      </c>
      <c r="J177" s="7">
        <v>21</v>
      </c>
      <c r="K177" s="7"/>
      <c r="L177" s="19"/>
      <c r="M177" s="7">
        <v>9500</v>
      </c>
      <c r="N177" s="7">
        <v>441</v>
      </c>
      <c r="O177" s="6" t="s">
        <v>588</v>
      </c>
    </row>
    <row r="179" spans="2:15" ht="31.5" x14ac:dyDescent="0.5">
      <c r="N179" s="56">
        <f>SUM(N2:N177)</f>
        <v>74646.5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Jivadaya Operator</dc:creator>
  <cp:lastModifiedBy>Jivadaya Operator</cp:lastModifiedBy>
  <dcterms:created xsi:type="dcterms:W3CDTF">2015-06-05T18:17:20Z</dcterms:created>
  <dcterms:modified xsi:type="dcterms:W3CDTF">2025-10-09T08:12:01Z</dcterms:modified>
</cp:coreProperties>
</file>