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D9F8F0C8-F842-4D79-8449-220A7B9B9ED5}" xr6:coauthVersionLast="47" xr6:coauthVersionMax="47" xr10:uidLastSave="{00000000-0000-0000-0000-000000000000}"/>
  <bookViews>
    <workbookView xWindow="-120" yWindow="-120" windowWidth="15600" windowHeight="11160" tabRatio="650" firstSheet="2" activeTab="4" xr2:uid="{00000000-000D-0000-FFFF-FFFF00000000}"/>
  </bookViews>
  <sheets>
    <sheet name="Garuda APR + May-25" sheetId="18" r:id="rId1"/>
    <sheet name="Garuda June-25" sheetId="20" r:id="rId2"/>
    <sheet name="Garuda" sheetId="21" r:id="rId3"/>
    <sheet name="Prabhuda Kripa" sheetId="22" r:id="rId4"/>
    <sheet name="Jai Jagannath" sheetId="24" r:id="rId5"/>
    <sheet name="Narada Bus" sheetId="2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4" i="24" l="1"/>
  <c r="L295" i="21"/>
  <c r="J295" i="21"/>
  <c r="L293" i="21"/>
  <c r="L294" i="21"/>
  <c r="J294" i="21"/>
  <c r="J293" i="21"/>
  <c r="L292" i="21"/>
  <c r="J292" i="21"/>
  <c r="L291" i="21"/>
  <c r="J291" i="21"/>
  <c r="L290" i="21"/>
  <c r="J290" i="21"/>
  <c r="L289" i="21"/>
  <c r="J289" i="21"/>
  <c r="L288" i="21"/>
  <c r="J288" i="21"/>
  <c r="L287" i="21"/>
  <c r="J287" i="21"/>
  <c r="L286" i="21"/>
  <c r="J286" i="21"/>
  <c r="J23" i="24"/>
  <c r="J65" i="22"/>
  <c r="L285" i="21"/>
  <c r="J285" i="21"/>
  <c r="L283" i="21"/>
  <c r="L284" i="21"/>
  <c r="J283" i="21"/>
  <c r="J284" i="21"/>
  <c r="J67" i="22"/>
  <c r="J69" i="22"/>
  <c r="L282" i="21"/>
  <c r="L281" i="21"/>
  <c r="J282" i="21"/>
  <c r="J281" i="21"/>
  <c r="L22" i="24"/>
  <c r="J278" i="21"/>
  <c r="L278" i="21" s="1"/>
  <c r="L276" i="21"/>
  <c r="J277" i="21"/>
  <c r="L277" i="21" s="1"/>
  <c r="J276" i="21"/>
  <c r="J20" i="24"/>
  <c r="J275" i="21"/>
  <c r="L275" i="21" s="1"/>
  <c r="J274" i="21"/>
  <c r="L274" i="21" s="1"/>
  <c r="J19" i="24"/>
  <c r="J273" i="21"/>
  <c r="L273" i="21" s="1"/>
  <c r="J272" i="21"/>
  <c r="L272" i="21" s="1"/>
  <c r="J18" i="24"/>
  <c r="J271" i="21"/>
  <c r="L271" i="21" s="1"/>
  <c r="J270" i="21"/>
  <c r="L270" i="21" s="1"/>
  <c r="J269" i="21"/>
  <c r="L269" i="21" s="1"/>
  <c r="J268" i="21"/>
  <c r="L268" i="21" s="1"/>
  <c r="J267" i="21"/>
  <c r="L267" i="21" s="1"/>
  <c r="J266" i="21"/>
  <c r="L266" i="21" s="1"/>
  <c r="L265" i="21"/>
  <c r="J265" i="21"/>
  <c r="J263" i="21"/>
  <c r="L263" i="21" s="1"/>
  <c r="L264" i="21"/>
  <c r="J264" i="21"/>
  <c r="J3" i="25"/>
  <c r="J2" i="25"/>
  <c r="J17" i="24"/>
  <c r="J262" i="21"/>
  <c r="L262" i="21" s="1"/>
  <c r="J261" i="21"/>
  <c r="L261" i="21" s="1"/>
  <c r="L260" i="21"/>
  <c r="J260" i="21"/>
  <c r="J259" i="21"/>
  <c r="L259" i="21" s="1"/>
  <c r="L258" i="21"/>
  <c r="J258" i="21"/>
  <c r="J257" i="21"/>
  <c r="L257" i="21" s="1"/>
  <c r="L256" i="21"/>
  <c r="J256" i="21"/>
  <c r="J255" i="21"/>
  <c r="L255" i="21" s="1"/>
  <c r="J66" i="22"/>
  <c r="J254" i="21"/>
  <c r="L254" i="21" s="1"/>
  <c r="J253" i="21"/>
  <c r="L253" i="21" s="1"/>
  <c r="J252" i="21"/>
  <c r="L252" i="21" s="1"/>
  <c r="J64" i="22"/>
  <c r="J251" i="21"/>
  <c r="L251" i="21" s="1"/>
  <c r="J250" i="21"/>
  <c r="L250" i="21" s="1"/>
  <c r="J249" i="21"/>
  <c r="L249" i="21" s="1"/>
  <c r="J248" i="21"/>
  <c r="L248" i="21" s="1"/>
  <c r="J247" i="21"/>
  <c r="L247" i="21" s="1"/>
  <c r="J246" i="21"/>
  <c r="L246" i="21" s="1"/>
  <c r="J245" i="21"/>
  <c r="L245" i="21" s="1"/>
  <c r="J244" i="21"/>
  <c r="L244" i="21" s="1"/>
  <c r="J243" i="21"/>
  <c r="L243" i="21" s="1"/>
  <c r="J242" i="21"/>
  <c r="L242" i="21" s="1"/>
  <c r="J241" i="21"/>
  <c r="L241" i="21" s="1"/>
  <c r="J240" i="21" l="1"/>
  <c r="L240" i="21" s="1"/>
  <c r="J239" i="21"/>
  <c r="L239" i="21" s="1"/>
  <c r="J234" i="21"/>
  <c r="L234" i="21" s="1"/>
  <c r="J61" i="22"/>
  <c r="J62" i="22"/>
  <c r="J233" i="21"/>
  <c r="L233" i="21" s="1"/>
  <c r="J231" i="21"/>
  <c r="L231" i="21" s="1"/>
  <c r="J232" i="21"/>
  <c r="L232" i="21" s="1"/>
  <c r="J230" i="21"/>
  <c r="L230" i="21" s="1"/>
  <c r="J229" i="21"/>
  <c r="L229" i="21" s="1"/>
  <c r="J228" i="21"/>
  <c r="L228" i="21" s="1"/>
  <c r="J227" i="21"/>
  <c r="L227" i="21" s="1"/>
  <c r="J12" i="24"/>
  <c r="J11" i="24"/>
  <c r="J60" i="22"/>
  <c r="J10" i="24"/>
  <c r="J226" i="21"/>
  <c r="L226" i="21" s="1"/>
  <c r="J225" i="21"/>
  <c r="L225" i="21" s="1"/>
  <c r="J224" i="21"/>
  <c r="L224" i="21" s="1"/>
  <c r="J223" i="21"/>
  <c r="L223" i="21" s="1"/>
  <c r="J222" i="21"/>
  <c r="L222" i="21" s="1"/>
  <c r="J221" i="21"/>
  <c r="L221" i="21" s="1"/>
  <c r="J220" i="21"/>
  <c r="L220" i="21" s="1"/>
  <c r="J59" i="22"/>
  <c r="Q9" i="24"/>
  <c r="R9" i="24" s="1"/>
  <c r="L9" i="24"/>
  <c r="J219" i="21"/>
  <c r="L219" i="21" s="1"/>
  <c r="J218" i="21"/>
  <c r="L218" i="21" s="1"/>
  <c r="J217" i="21"/>
  <c r="L217" i="21" s="1"/>
  <c r="J216" i="21"/>
  <c r="L216" i="21" s="1"/>
  <c r="J215" i="21"/>
  <c r="L215" i="21" s="1"/>
  <c r="J58" i="22"/>
  <c r="J214" i="21"/>
  <c r="L214" i="21" s="1"/>
  <c r="J213" i="21"/>
  <c r="L213" i="21" s="1"/>
  <c r="J212" i="21"/>
  <c r="L212" i="21" s="1"/>
  <c r="J211" i="21"/>
  <c r="L211" i="21" s="1"/>
  <c r="J210" i="21"/>
  <c r="L210" i="21" s="1"/>
  <c r="J209" i="21"/>
  <c r="L209" i="21" s="1"/>
  <c r="J208" i="21"/>
  <c r="L208" i="21" s="1"/>
  <c r="J207" i="21"/>
  <c r="L207" i="21" s="1"/>
  <c r="J206" i="21"/>
  <c r="L206" i="21" s="1"/>
  <c r="J205" i="21"/>
  <c r="L205" i="21" s="1"/>
  <c r="J204" i="21"/>
  <c r="L204" i="21" s="1"/>
  <c r="J203" i="21"/>
  <c r="L203" i="21" s="1"/>
  <c r="J202" i="21"/>
  <c r="L202" i="21" s="1"/>
  <c r="J201" i="21"/>
  <c r="L201" i="21" s="1"/>
  <c r="J200" i="21"/>
  <c r="L200" i="21" s="1"/>
  <c r="J199" i="21"/>
  <c r="L199" i="21" s="1"/>
  <c r="J198" i="21"/>
  <c r="L198" i="21" s="1"/>
  <c r="J197" i="21"/>
  <c r="L197" i="21" s="1"/>
  <c r="J196" i="21"/>
  <c r="L196" i="21" s="1"/>
  <c r="J195" i="21"/>
  <c r="L195" i="21" s="1"/>
  <c r="J194" i="21"/>
  <c r="L194" i="21" s="1"/>
  <c r="J193" i="21"/>
  <c r="L193" i="21" s="1"/>
  <c r="J192" i="21"/>
  <c r="L192" i="21" s="1"/>
  <c r="J191" i="21"/>
  <c r="L191" i="21" s="1"/>
  <c r="J57" i="22"/>
  <c r="J190" i="21"/>
  <c r="L190" i="21" s="1"/>
  <c r="J189" i="21"/>
  <c r="L189" i="21" s="1"/>
  <c r="J188" i="21"/>
  <c r="L188" i="21" s="1"/>
  <c r="J187" i="21"/>
  <c r="L187" i="21" s="1"/>
  <c r="J186" i="21"/>
  <c r="L186" i="21" s="1"/>
  <c r="J185" i="21"/>
  <c r="L185" i="21" s="1"/>
  <c r="J184" i="21"/>
  <c r="L184" i="21" s="1"/>
  <c r="J183" i="21"/>
  <c r="L183" i="21" s="1"/>
  <c r="J182" i="21"/>
  <c r="L182" i="21" s="1"/>
  <c r="J181" i="21"/>
  <c r="L181" i="21" s="1"/>
  <c r="J180" i="21"/>
  <c r="L180" i="21" s="1"/>
  <c r="J179" i="21"/>
  <c r="L179" i="21" s="1"/>
  <c r="J56" i="22"/>
  <c r="J176" i="21"/>
  <c r="L176" i="21" s="1"/>
  <c r="J55" i="22"/>
  <c r="J175" i="21"/>
  <c r="L175" i="21" s="1"/>
  <c r="J174" i="21"/>
  <c r="L174" i="21" s="1"/>
  <c r="J173" i="21"/>
  <c r="L173" i="21" s="1"/>
  <c r="J172" i="21"/>
  <c r="L172" i="21" s="1"/>
  <c r="J171" i="21"/>
  <c r="L171" i="21" s="1"/>
  <c r="J170" i="21"/>
  <c r="L170" i="21" s="1"/>
  <c r="J169" i="21"/>
  <c r="L169" i="21" s="1"/>
  <c r="J168" i="21"/>
  <c r="L168" i="21" s="1"/>
  <c r="J167" i="21"/>
  <c r="L167" i="21" s="1"/>
  <c r="J166" i="21"/>
  <c r="L166" i="21" s="1"/>
  <c r="J165" i="21"/>
  <c r="L165" i="21" s="1"/>
  <c r="J164" i="21"/>
  <c r="L164" i="21" s="1"/>
  <c r="J163" i="21"/>
  <c r="L163" i="21" s="1"/>
  <c r="J162" i="21"/>
  <c r="L162" i="21" s="1"/>
  <c r="J161" i="21"/>
  <c r="L161" i="21" s="1"/>
  <c r="J160" i="21"/>
  <c r="L160" i="21" s="1"/>
  <c r="J159" i="21"/>
  <c r="L159" i="21" s="1"/>
  <c r="J158" i="21"/>
  <c r="L158" i="21" s="1"/>
  <c r="J157" i="21"/>
  <c r="L157" i="21" s="1"/>
  <c r="J156" i="21"/>
  <c r="L156" i="21" s="1"/>
  <c r="J155" i="21"/>
  <c r="L155" i="21" s="1"/>
  <c r="J154" i="21"/>
  <c r="L154" i="21" s="1"/>
  <c r="J153" i="21"/>
  <c r="L153" i="21" s="1"/>
  <c r="J152" i="21"/>
  <c r="L152" i="21" s="1"/>
  <c r="J151" i="21"/>
  <c r="L151" i="21" s="1"/>
  <c r="J150" i="21"/>
  <c r="L150" i="21" s="1"/>
  <c r="J54" i="22"/>
  <c r="J53" i="22"/>
  <c r="J149" i="21"/>
  <c r="L149" i="21" s="1"/>
  <c r="J148" i="21"/>
  <c r="L148" i="21" s="1"/>
  <c r="J147" i="21"/>
  <c r="L147" i="21" s="1"/>
  <c r="J146" i="21"/>
  <c r="L146" i="21" s="1"/>
  <c r="J145" i="21"/>
  <c r="L145" i="21" s="1"/>
  <c r="J144" i="21"/>
  <c r="L144" i="21" s="1"/>
  <c r="J143" i="21"/>
  <c r="L143" i="21" s="1"/>
  <c r="J142" i="21"/>
  <c r="L142" i="21" s="1"/>
  <c r="J141" i="21"/>
  <c r="L141" i="21" s="1"/>
  <c r="J139" i="21"/>
  <c r="L139" i="21" s="1"/>
  <c r="J140" i="21"/>
  <c r="L140" i="21" s="1"/>
  <c r="J138" i="21"/>
  <c r="L138" i="21" s="1"/>
  <c r="J137" i="21"/>
  <c r="L137" i="21" s="1"/>
  <c r="J136" i="21"/>
  <c r="L136" i="21" s="1"/>
  <c r="J135" i="21"/>
  <c r="L135" i="21" s="1"/>
  <c r="J134" i="21"/>
  <c r="L134" i="21" s="1"/>
  <c r="J133" i="21"/>
  <c r="L133" i="21" s="1"/>
  <c r="J132" i="21"/>
  <c r="L132" i="21" s="1"/>
  <c r="J131" i="21"/>
  <c r="L131" i="21" s="1"/>
  <c r="J130" i="21"/>
  <c r="L130" i="21" s="1"/>
  <c r="J129" i="21"/>
  <c r="L129" i="21" s="1"/>
  <c r="J128" i="21"/>
  <c r="L128" i="21" s="1"/>
  <c r="J127" i="21"/>
  <c r="L127" i="21" s="1"/>
  <c r="J123" i="21"/>
  <c r="L123" i="21" s="1"/>
  <c r="J124" i="21"/>
  <c r="L124" i="21" s="1"/>
  <c r="J125" i="21"/>
  <c r="L125" i="21" s="1"/>
  <c r="J126" i="21"/>
  <c r="L126" i="21" s="1"/>
  <c r="J122" i="21"/>
  <c r="L122" i="21" s="1"/>
  <c r="J121" i="21"/>
  <c r="L121" i="21" s="1"/>
  <c r="J51" i="22"/>
  <c r="J120" i="21"/>
  <c r="L120" i="21" s="1"/>
  <c r="J119" i="21"/>
  <c r="L119" i="21" s="1"/>
  <c r="J118" i="21"/>
  <c r="L118" i="21" s="1"/>
  <c r="J115" i="21"/>
  <c r="L115" i="21" s="1"/>
  <c r="J114" i="21"/>
  <c r="L114" i="21" s="1"/>
  <c r="J113" i="21"/>
  <c r="L113" i="21" s="1"/>
  <c r="J112" i="21"/>
  <c r="L112" i="21" s="1"/>
  <c r="J111" i="21"/>
  <c r="L111" i="21" s="1"/>
  <c r="J50" i="22"/>
  <c r="T9" i="24" l="1"/>
  <c r="J110" i="21"/>
  <c r="L110" i="21" s="1"/>
  <c r="J109" i="21"/>
  <c r="L109" i="21" s="1"/>
  <c r="J108" i="21"/>
  <c r="L108" i="21" s="1"/>
  <c r="J49" i="22"/>
  <c r="J48" i="22"/>
  <c r="J47" i="22"/>
  <c r="J107" i="21"/>
  <c r="L107" i="21" s="1"/>
  <c r="J106" i="21"/>
  <c r="L106" i="21" s="1"/>
  <c r="J105" i="21"/>
  <c r="L105" i="21" s="1"/>
  <c r="J104" i="21"/>
  <c r="L104" i="21" s="1"/>
  <c r="J46" i="22"/>
  <c r="J45" i="22"/>
  <c r="J103" i="21"/>
  <c r="L103" i="21" s="1"/>
  <c r="J102" i="21"/>
  <c r="L102" i="21" s="1"/>
  <c r="J101" i="21"/>
  <c r="L101" i="21" s="1"/>
  <c r="J100" i="21"/>
  <c r="L100" i="21" s="1"/>
  <c r="J99" i="21"/>
  <c r="L99" i="21" s="1"/>
  <c r="J98" i="21"/>
  <c r="L98" i="21" s="1"/>
  <c r="J97" i="21"/>
  <c r="L97" i="21" s="1"/>
  <c r="J96" i="21"/>
  <c r="L96" i="21" s="1"/>
  <c r="J95" i="21"/>
  <c r="L95" i="21" s="1"/>
  <c r="J94" i="21"/>
  <c r="L94" i="21" s="1"/>
  <c r="J93" i="21"/>
  <c r="L93" i="21" s="1"/>
  <c r="J92" i="21"/>
  <c r="L92" i="21" s="1"/>
  <c r="J91" i="21"/>
  <c r="L91" i="21" s="1"/>
  <c r="J90" i="21"/>
  <c r="L90" i="21" s="1"/>
  <c r="J89" i="21"/>
  <c r="L89" i="21" s="1"/>
  <c r="J88" i="21"/>
  <c r="L88" i="21" s="1"/>
  <c r="J44" i="22"/>
  <c r="J43" i="22"/>
  <c r="J42" i="22"/>
  <c r="J87" i="21"/>
  <c r="L87" i="21" s="1"/>
  <c r="J86" i="21"/>
  <c r="L86" i="21" s="1"/>
  <c r="J85" i="21"/>
  <c r="L85" i="21" s="1"/>
  <c r="J84" i="21"/>
  <c r="L84" i="21" s="1"/>
  <c r="J83" i="21"/>
  <c r="L83" i="21" s="1"/>
  <c r="J80" i="21"/>
  <c r="L80" i="21" s="1"/>
  <c r="J79" i="21"/>
  <c r="L79" i="21" s="1"/>
  <c r="J78" i="21"/>
  <c r="L78" i="21" s="1"/>
  <c r="J41" i="22"/>
  <c r="J77" i="21"/>
  <c r="L77" i="21" s="1"/>
  <c r="J76" i="21"/>
  <c r="L76" i="21" s="1"/>
  <c r="J75" i="21"/>
  <c r="L75" i="21" s="1"/>
  <c r="J74" i="21"/>
  <c r="L74" i="21" s="1"/>
  <c r="J73" i="21"/>
  <c r="L73" i="21" s="1"/>
  <c r="J72" i="21"/>
  <c r="L72" i="21" s="1"/>
  <c r="J71" i="21"/>
  <c r="L71" i="21" s="1"/>
  <c r="J70" i="21"/>
  <c r="L70" i="21" s="1"/>
  <c r="J69" i="21"/>
  <c r="L69" i="21" s="1"/>
  <c r="J40" i="22"/>
  <c r="J39" i="22"/>
  <c r="J38" i="22"/>
  <c r="J37" i="22"/>
  <c r="J36" i="22"/>
  <c r="J68" i="21"/>
  <c r="L68" i="21" s="1"/>
  <c r="J35" i="22"/>
  <c r="J67" i="21"/>
  <c r="L67" i="21" s="1"/>
  <c r="J66" i="21"/>
  <c r="L66" i="21" s="1"/>
  <c r="J65" i="21"/>
  <c r="L65" i="21" s="1"/>
  <c r="J64" i="21"/>
  <c r="L64" i="21" s="1"/>
  <c r="J63" i="21"/>
  <c r="L63" i="21" s="1"/>
  <c r="J34" i="22"/>
  <c r="J62" i="21"/>
  <c r="L62" i="21" s="1"/>
  <c r="J61" i="21"/>
  <c r="L61" i="21" s="1"/>
  <c r="J60" i="21"/>
  <c r="L60" i="21" s="1"/>
  <c r="J59" i="21"/>
  <c r="L59" i="21" s="1"/>
  <c r="J58" i="21"/>
  <c r="L58" i="21" s="1"/>
  <c r="J33" i="22"/>
  <c r="J57" i="21"/>
  <c r="L57" i="21" s="1"/>
  <c r="J56" i="21"/>
  <c r="L56" i="21" s="1"/>
  <c r="J55" i="21"/>
  <c r="L55" i="21" s="1"/>
  <c r="J54" i="21"/>
  <c r="L54" i="21" s="1"/>
  <c r="J53" i="21"/>
  <c r="L53" i="21" s="1"/>
  <c r="J52" i="21"/>
  <c r="L52" i="21" s="1"/>
  <c r="J32" i="22"/>
  <c r="L32" i="22" s="1"/>
  <c r="J51" i="21"/>
  <c r="L51" i="21" s="1"/>
  <c r="J50" i="21"/>
  <c r="L50" i="21" s="1"/>
  <c r="J49" i="21"/>
  <c r="L49" i="21" s="1"/>
  <c r="J48" i="21"/>
  <c r="L48" i="21" s="1"/>
  <c r="J47" i="21"/>
  <c r="L47" i="21" s="1"/>
  <c r="J46" i="21"/>
  <c r="L46" i="21" s="1"/>
  <c r="J45" i="21"/>
  <c r="L45" i="21" s="1"/>
  <c r="J3" i="21"/>
  <c r="L3" i="21" s="1"/>
  <c r="J7" i="22" l="1"/>
  <c r="J44" i="21"/>
  <c r="L44" i="21" s="1"/>
  <c r="J43" i="21"/>
  <c r="L43" i="21" s="1"/>
  <c r="J42" i="21"/>
  <c r="L42" i="21" s="1"/>
  <c r="R45" i="21"/>
  <c r="U45" i="21" s="1"/>
  <c r="J2" i="21"/>
  <c r="L2" i="21" s="1"/>
  <c r="Q2" i="21"/>
  <c r="R2" i="21" s="1"/>
  <c r="T2" i="21" l="1"/>
  <c r="J30" i="22"/>
  <c r="J29" i="22"/>
  <c r="J27" i="22"/>
  <c r="L27" i="22" s="1"/>
  <c r="J13" i="21"/>
  <c r="L13" i="21" s="1"/>
  <c r="J12" i="21"/>
  <c r="L12" i="21" s="1"/>
  <c r="J11" i="21"/>
  <c r="L11" i="21" s="1"/>
  <c r="J10" i="21"/>
  <c r="L10" i="21" s="1"/>
  <c r="J9" i="21"/>
  <c r="L9" i="21" s="1"/>
  <c r="J8" i="21"/>
  <c r="L8" i="21" s="1"/>
  <c r="J15" i="22"/>
  <c r="J20" i="22"/>
  <c r="J19" i="22"/>
  <c r="J18" i="22"/>
  <c r="J17" i="22"/>
  <c r="J16" i="22"/>
  <c r="J14" i="22"/>
  <c r="J13" i="22"/>
  <c r="J11" i="22"/>
  <c r="J8" i="22"/>
  <c r="J10" i="22"/>
  <c r="J9" i="22"/>
  <c r="J6" i="22"/>
  <c r="J4" i="22"/>
  <c r="J3" i="22"/>
  <c r="J2" i="22"/>
  <c r="J26" i="22"/>
  <c r="L26" i="22" s="1"/>
  <c r="J25" i="22"/>
  <c r="L25" i="22" s="1"/>
  <c r="J7" i="21"/>
  <c r="L7" i="21" s="1"/>
  <c r="J6" i="21"/>
  <c r="L6" i="21" s="1"/>
  <c r="R4" i="21"/>
  <c r="R5" i="21"/>
  <c r="J5" i="21"/>
  <c r="L5" i="21" s="1"/>
  <c r="I13" i="18"/>
  <c r="Q13" i="18" s="1"/>
  <c r="I14" i="18"/>
  <c r="Q14" i="18"/>
  <c r="I15" i="18"/>
  <c r="Q15" i="18" s="1"/>
  <c r="I16" i="18"/>
  <c r="Q16" i="18" s="1"/>
  <c r="I17" i="18"/>
  <c r="Q17" i="18" s="1"/>
  <c r="I18" i="18"/>
  <c r="Q18" i="18" s="1"/>
  <c r="I19" i="18"/>
  <c r="Q19" i="18" s="1"/>
  <c r="I20" i="18"/>
  <c r="Q20" i="18" s="1"/>
  <c r="I21" i="18"/>
  <c r="Q21" i="18" s="1"/>
  <c r="I22" i="18"/>
  <c r="Q22" i="18" s="1"/>
  <c r="I23" i="18"/>
  <c r="Q23" i="18" s="1"/>
  <c r="I24" i="18"/>
  <c r="Q24" i="18" s="1"/>
  <c r="I25" i="18"/>
  <c r="Q25" i="18" s="1"/>
  <c r="I26" i="18"/>
  <c r="Q26" i="18" s="1"/>
  <c r="I27" i="18"/>
  <c r="Q27" i="18" s="1"/>
  <c r="I28" i="18"/>
  <c r="Q28" i="18" s="1"/>
  <c r="I29" i="18"/>
  <c r="Q29" i="18" s="1"/>
  <c r="I30" i="18"/>
  <c r="Q30" i="18" s="1"/>
  <c r="I31" i="18"/>
  <c r="Q31" i="18" s="1"/>
  <c r="I32" i="18"/>
  <c r="Q32" i="18" s="1"/>
  <c r="I33" i="18"/>
  <c r="Q33" i="18" s="1"/>
  <c r="I34" i="18"/>
  <c r="Q34" i="18" s="1"/>
  <c r="T5" i="21" l="1"/>
  <c r="J4" i="24"/>
  <c r="L4" i="24" s="1"/>
  <c r="R3" i="24"/>
  <c r="J3" i="24"/>
  <c r="L3" i="24" s="1"/>
  <c r="Q2" i="24"/>
  <c r="R2" i="24" s="1"/>
  <c r="J2" i="24"/>
  <c r="L2" i="24" s="1"/>
  <c r="J24" i="22"/>
  <c r="L24" i="22" s="1"/>
  <c r="R23" i="22"/>
  <c r="J23" i="22"/>
  <c r="L23" i="22" s="1"/>
  <c r="Q22" i="22"/>
  <c r="R22" i="22" s="1"/>
  <c r="J22" i="22"/>
  <c r="L22" i="22" s="1"/>
  <c r="T3" i="24" l="1"/>
  <c r="T23" i="22"/>
  <c r="T22" i="22"/>
  <c r="T2" i="24"/>
  <c r="J4" i="21"/>
  <c r="L4" i="21" s="1"/>
  <c r="T4" i="21" s="1"/>
  <c r="Q19" i="20"/>
  <c r="Q20" i="20"/>
  <c r="Q21" i="20"/>
  <c r="Q22" i="20"/>
  <c r="I22" i="20"/>
  <c r="K22" i="20" s="1"/>
  <c r="T22" i="20" s="1"/>
  <c r="I21" i="20"/>
  <c r="K21" i="20" s="1"/>
  <c r="I20" i="20"/>
  <c r="K20" i="20" s="1"/>
  <c r="T20" i="20" s="1"/>
  <c r="I19" i="20"/>
  <c r="K19" i="20" s="1"/>
  <c r="I9" i="20"/>
  <c r="T19" i="20" l="1"/>
  <c r="T21" i="20"/>
  <c r="Q17" i="20"/>
  <c r="Q18" i="20"/>
  <c r="I17" i="20"/>
  <c r="K17" i="20" s="1"/>
  <c r="I18" i="20"/>
  <c r="K18" i="20" s="1"/>
  <c r="I3" i="20"/>
  <c r="K3" i="20" s="1"/>
  <c r="I4" i="20"/>
  <c r="K4" i="20" s="1"/>
  <c r="I5" i="20"/>
  <c r="K5" i="20" s="1"/>
  <c r="T5" i="20" s="1"/>
  <c r="I6" i="20"/>
  <c r="K6" i="20" s="1"/>
  <c r="I7" i="20"/>
  <c r="I8" i="20"/>
  <c r="K8" i="20" s="1"/>
  <c r="K9" i="20"/>
  <c r="I10" i="20"/>
  <c r="K10" i="20" s="1"/>
  <c r="I11" i="20"/>
  <c r="K11" i="20" s="1"/>
  <c r="I12" i="20"/>
  <c r="K12" i="20" s="1"/>
  <c r="I13" i="20"/>
  <c r="K13" i="20" s="1"/>
  <c r="I14" i="20"/>
  <c r="K14" i="20" s="1"/>
  <c r="I15" i="20"/>
  <c r="K15" i="20" s="1"/>
  <c r="I16" i="20"/>
  <c r="K16" i="20" s="1"/>
  <c r="I2" i="20"/>
  <c r="K2" i="20" s="1"/>
  <c r="Q16" i="20"/>
  <c r="K7" i="20"/>
  <c r="Q3" i="20"/>
  <c r="Q4" i="20"/>
  <c r="Q6" i="20"/>
  <c r="Q7" i="20"/>
  <c r="Q8" i="20"/>
  <c r="Q9" i="20"/>
  <c r="Q10" i="20"/>
  <c r="Q11" i="20"/>
  <c r="Q12" i="20"/>
  <c r="Q13" i="20"/>
  <c r="Q14" i="20"/>
  <c r="Q15" i="20"/>
  <c r="Q2" i="20"/>
  <c r="T11" i="20" l="1"/>
  <c r="T10" i="20"/>
  <c r="T18" i="20"/>
  <c r="T9" i="20"/>
  <c r="T7" i="20"/>
  <c r="T16" i="20"/>
  <c r="T15" i="20"/>
  <c r="T3" i="20"/>
  <c r="T6" i="20"/>
  <c r="T4" i="20"/>
  <c r="T14" i="20"/>
  <c r="T13" i="20"/>
  <c r="T17" i="20"/>
  <c r="T8" i="20"/>
  <c r="T12" i="20"/>
  <c r="T2" i="20"/>
  <c r="I11" i="18" l="1"/>
  <c r="Q11" i="18" s="1"/>
  <c r="I10" i="18"/>
  <c r="Q10" i="18" s="1"/>
  <c r="I9" i="18"/>
  <c r="Q9" i="18" s="1"/>
  <c r="I8" i="18"/>
  <c r="Q8" i="18" s="1"/>
  <c r="I7" i="18"/>
  <c r="Q7" i="18" s="1"/>
  <c r="I6" i="18"/>
  <c r="Q6" i="18" s="1"/>
  <c r="I5" i="18"/>
  <c r="Q5" i="18" s="1"/>
  <c r="I4" i="18"/>
  <c r="Q4" i="18" s="1"/>
  <c r="I3" i="18"/>
  <c r="Q3" i="18" s="1"/>
  <c r="T2" i="18"/>
  <c r="I2" i="18"/>
  <c r="Q2" i="18" s="1"/>
</calcChain>
</file>

<file path=xl/sharedStrings.xml><?xml version="1.0" encoding="utf-8"?>
<sst xmlns="http://schemas.openxmlformats.org/spreadsheetml/2006/main" count="3206" uniqueCount="1047">
  <si>
    <t>Date</t>
  </si>
  <si>
    <t>Booked By</t>
  </si>
  <si>
    <t>Ph. No</t>
  </si>
  <si>
    <t>IDT from Dept</t>
  </si>
  <si>
    <t>Purpose</t>
  </si>
  <si>
    <t>Out Reading</t>
  </si>
  <si>
    <t>In Reading</t>
  </si>
  <si>
    <t>Net Distance</t>
  </si>
  <si>
    <t>Time Out</t>
  </si>
  <si>
    <t>Time In</t>
  </si>
  <si>
    <t>Driver's Name</t>
  </si>
  <si>
    <t>Driver Charges</t>
  </si>
  <si>
    <t>Misc Charges</t>
  </si>
  <si>
    <t>Adjustements</t>
  </si>
  <si>
    <t>Total Charges</t>
  </si>
  <si>
    <t>Comments</t>
  </si>
  <si>
    <t xml:space="preserve">Remarks </t>
  </si>
  <si>
    <t>S.No</t>
  </si>
  <si>
    <t>Varadraj Pr</t>
  </si>
  <si>
    <t>11:00pm</t>
  </si>
  <si>
    <t>12:00pm</t>
  </si>
  <si>
    <t>12:10pm</t>
  </si>
  <si>
    <t>Gokul Nagar</t>
  </si>
  <si>
    <t>Undri</t>
  </si>
  <si>
    <t>10:45am</t>
  </si>
  <si>
    <t>Tilekar Nagar</t>
  </si>
  <si>
    <t>11:00am</t>
  </si>
  <si>
    <t>Barsana</t>
  </si>
  <si>
    <t>Sudamanath Pr</t>
  </si>
  <si>
    <t>Harinam Sankirtan</t>
  </si>
  <si>
    <t>Katraj</t>
  </si>
  <si>
    <t>11:15am</t>
  </si>
  <si>
    <t>12:15pm</t>
  </si>
  <si>
    <t>5:30pm</t>
  </si>
  <si>
    <t>6:00pm</t>
  </si>
  <si>
    <t>6:20pm</t>
  </si>
  <si>
    <t>7:40pm</t>
  </si>
  <si>
    <t>7:30pm</t>
  </si>
  <si>
    <t>6:15pm</t>
  </si>
  <si>
    <t>Yogesh Pr</t>
  </si>
  <si>
    <t>VRL</t>
  </si>
  <si>
    <t>4:20pm</t>
  </si>
  <si>
    <t>5:55pm</t>
  </si>
  <si>
    <t>GGD Voice</t>
  </si>
  <si>
    <t>2:20pm</t>
  </si>
  <si>
    <t>Station</t>
  </si>
  <si>
    <t>Manager</t>
  </si>
  <si>
    <t>6:30pm</t>
  </si>
  <si>
    <t>3:30pm</t>
  </si>
  <si>
    <t>Harinam</t>
  </si>
  <si>
    <t>5:40pm</t>
  </si>
  <si>
    <t>6:10pm</t>
  </si>
  <si>
    <t>Baner</t>
  </si>
  <si>
    <t>2:15pm</t>
  </si>
  <si>
    <t>2:00pm</t>
  </si>
  <si>
    <t>10:00AM</t>
  </si>
  <si>
    <t>4:00pm</t>
  </si>
  <si>
    <t>Brahma Vidya</t>
  </si>
  <si>
    <t>Jivadaya</t>
  </si>
  <si>
    <t>11:35am</t>
  </si>
  <si>
    <t>4:30pm</t>
  </si>
  <si>
    <t>5:45PM</t>
  </si>
  <si>
    <t>11:25am</t>
  </si>
  <si>
    <t>8:30pm</t>
  </si>
  <si>
    <t>10:45AM</t>
  </si>
  <si>
    <t>4:15pm</t>
  </si>
  <si>
    <t>5:00pm</t>
  </si>
  <si>
    <t>1:55pm</t>
  </si>
  <si>
    <t>8:20pm</t>
  </si>
  <si>
    <t>6:40pm</t>
  </si>
  <si>
    <t>6:55pm</t>
  </si>
  <si>
    <t>Vehicle Usage Charges (Rs 18/km)</t>
  </si>
  <si>
    <t>6:25pm</t>
  </si>
  <si>
    <t>2:40pm</t>
  </si>
  <si>
    <t>1:10PM</t>
  </si>
  <si>
    <t>Hadapsar</t>
  </si>
  <si>
    <t>1:00pm</t>
  </si>
  <si>
    <t>3:10pm</t>
  </si>
  <si>
    <t>10:45pm</t>
  </si>
  <si>
    <t>Khadi Machine</t>
  </si>
  <si>
    <t>5:50pm</t>
  </si>
  <si>
    <t>Navale Bridge</t>
  </si>
  <si>
    <t>Subhash Pr</t>
  </si>
  <si>
    <t>Banty</t>
  </si>
  <si>
    <t>Project</t>
  </si>
  <si>
    <t>02.04.2025</t>
  </si>
  <si>
    <t>04.04.2025</t>
  </si>
  <si>
    <t>Sudama Nath</t>
  </si>
  <si>
    <t>Ishwar Dhir Pr</t>
  </si>
  <si>
    <t>05.04.2025</t>
  </si>
  <si>
    <t xml:space="preserve">Rajeev </t>
  </si>
  <si>
    <t>Bhor</t>
  </si>
  <si>
    <t>06.04.2025</t>
  </si>
  <si>
    <t>07.04.2025</t>
  </si>
  <si>
    <t>12.04.2025</t>
  </si>
  <si>
    <t>25.04.2025</t>
  </si>
  <si>
    <t>10:00pm</t>
  </si>
  <si>
    <t>Parvati</t>
  </si>
  <si>
    <t>26.04.2025</t>
  </si>
  <si>
    <t>29.04.2025</t>
  </si>
  <si>
    <t>Amit</t>
  </si>
  <si>
    <t>01.05.2025</t>
  </si>
  <si>
    <t>Shinde Wadi</t>
  </si>
  <si>
    <t>9:15pm</t>
  </si>
  <si>
    <t>03.05.2025</t>
  </si>
  <si>
    <t>Pankaj</t>
  </si>
  <si>
    <t>Atmnivedan Yoga</t>
  </si>
  <si>
    <t>05.05.2025</t>
  </si>
  <si>
    <t>Rajiv Pr</t>
  </si>
  <si>
    <t>07.05.2025</t>
  </si>
  <si>
    <t>08.05.2025</t>
  </si>
  <si>
    <t>09.05.2025</t>
  </si>
  <si>
    <t>10.05.2025</t>
  </si>
  <si>
    <t>10:20am</t>
  </si>
  <si>
    <t>11:12AM</t>
  </si>
  <si>
    <t>12:4PM</t>
  </si>
  <si>
    <t>1:35AM</t>
  </si>
  <si>
    <t>11.05.2025</t>
  </si>
  <si>
    <t>Pankaj Pr</t>
  </si>
  <si>
    <t>Vamsi Gopal Pr</t>
  </si>
  <si>
    <t>9:45am</t>
  </si>
  <si>
    <t>12.05.2025</t>
  </si>
  <si>
    <t>14.05.2025</t>
  </si>
  <si>
    <t>18.05.2025</t>
  </si>
  <si>
    <t>19.05.2025</t>
  </si>
  <si>
    <t>10:25am</t>
  </si>
  <si>
    <t>12:34pm</t>
  </si>
  <si>
    <t>1:40pm</t>
  </si>
  <si>
    <t>21.05.2025</t>
  </si>
  <si>
    <t>24.05.2025</t>
  </si>
  <si>
    <t>Ramkrishna Vitthal Pr</t>
  </si>
  <si>
    <t>28.05.2025</t>
  </si>
  <si>
    <t>29.05.2025</t>
  </si>
  <si>
    <t>Lula Nagar</t>
  </si>
  <si>
    <t>Viman Ngar</t>
  </si>
  <si>
    <t>30.05.2025</t>
  </si>
  <si>
    <t>Navale Bridgr</t>
  </si>
  <si>
    <t>Shubha Krishna Pr</t>
  </si>
  <si>
    <t>01.06.2025</t>
  </si>
  <si>
    <t>Velha</t>
  </si>
  <si>
    <t>02.06.2025</t>
  </si>
  <si>
    <t>Kaustubh Pr</t>
  </si>
  <si>
    <t>Yewlewadi</t>
  </si>
  <si>
    <t xml:space="preserve">  Yogesh</t>
  </si>
  <si>
    <t>03.06.2025</t>
  </si>
  <si>
    <t>Balaji Nagar</t>
  </si>
  <si>
    <t>Driver Time in Hour's</t>
  </si>
  <si>
    <t>Total Driver Charges</t>
  </si>
  <si>
    <t>S.no</t>
  </si>
  <si>
    <t>IDT No</t>
  </si>
  <si>
    <t xml:space="preserve">Total </t>
  </si>
  <si>
    <t>Cash Payment</t>
  </si>
  <si>
    <t>05.06.2025</t>
  </si>
  <si>
    <t>9:30am</t>
  </si>
  <si>
    <t>6:22am</t>
  </si>
  <si>
    <t>06.06.2025</t>
  </si>
  <si>
    <t>3:00pm</t>
  </si>
  <si>
    <t>7:18pm</t>
  </si>
  <si>
    <t>07.06.2025</t>
  </si>
  <si>
    <t>11:15AM</t>
  </si>
  <si>
    <t>12:50PM</t>
  </si>
  <si>
    <t>08.06.2025</t>
  </si>
  <si>
    <t>09.06.2025</t>
  </si>
  <si>
    <t>7:15am</t>
  </si>
  <si>
    <t>8:35am</t>
  </si>
  <si>
    <t>3:15pm</t>
  </si>
  <si>
    <t>2:35pm</t>
  </si>
  <si>
    <t>12:30pm</t>
  </si>
  <si>
    <t>VRL/Poona Tr.</t>
  </si>
  <si>
    <t>CV2025060313</t>
  </si>
  <si>
    <t>CV2025060312</t>
  </si>
  <si>
    <t>CV2025060311</t>
  </si>
  <si>
    <t>10.06.2025</t>
  </si>
  <si>
    <t>12.06.2025</t>
  </si>
  <si>
    <t>13.06.2025</t>
  </si>
  <si>
    <t>Voice Publication</t>
  </si>
  <si>
    <t>11:14am</t>
  </si>
  <si>
    <t>11:48am</t>
  </si>
  <si>
    <t>9:35am</t>
  </si>
  <si>
    <t>6:20:pm</t>
  </si>
  <si>
    <t>12:19pm</t>
  </si>
  <si>
    <t>12:49pm</t>
  </si>
  <si>
    <t>5:38pm</t>
  </si>
  <si>
    <t>7:15pm</t>
  </si>
  <si>
    <t>Garden</t>
  </si>
  <si>
    <t>10:01am</t>
  </si>
  <si>
    <t>3:04pm</t>
  </si>
  <si>
    <t>17.06.2025</t>
  </si>
  <si>
    <t>Vioce Publication</t>
  </si>
  <si>
    <t>12:50pm</t>
  </si>
  <si>
    <t>1:20pm</t>
  </si>
  <si>
    <t>18.06.2025</t>
  </si>
  <si>
    <t>Sripad Seva Pr</t>
  </si>
  <si>
    <t>Dindi</t>
  </si>
  <si>
    <t>Dehu/Pandharour</t>
  </si>
  <si>
    <t>Shyamanand Pr</t>
  </si>
  <si>
    <t>10:40am</t>
  </si>
  <si>
    <t>2:06pm</t>
  </si>
  <si>
    <t>Ram Krishna Pr</t>
  </si>
  <si>
    <t>11:50am</t>
  </si>
  <si>
    <t>12:25pm</t>
  </si>
  <si>
    <t>10.07.2025</t>
  </si>
  <si>
    <t>Department</t>
  </si>
  <si>
    <t>Charge/km</t>
  </si>
  <si>
    <t xml:space="preserve">Usage Charges </t>
  </si>
  <si>
    <t>Driver Usage (hrs)</t>
  </si>
  <si>
    <t>Month</t>
  </si>
  <si>
    <t>July</t>
  </si>
  <si>
    <t>May</t>
  </si>
  <si>
    <t>April</t>
  </si>
  <si>
    <t>11:45am</t>
  </si>
  <si>
    <t>14.07.2025</t>
  </si>
  <si>
    <t>15.07.2025</t>
  </si>
  <si>
    <t>4:45pm</t>
  </si>
  <si>
    <t>5:15pm</t>
  </si>
  <si>
    <t>5:59pm</t>
  </si>
  <si>
    <t>7:05pm</t>
  </si>
  <si>
    <t>RKB</t>
  </si>
  <si>
    <t>2:25pm</t>
  </si>
  <si>
    <t>Jejuri</t>
  </si>
  <si>
    <t>8:ooam</t>
  </si>
  <si>
    <t>8:25pm</t>
  </si>
  <si>
    <t>Ram Krishna Vitthal Pr</t>
  </si>
  <si>
    <t>Garage</t>
  </si>
  <si>
    <t>4:35pm</t>
  </si>
  <si>
    <t>1:35pm</t>
  </si>
  <si>
    <t>7:20am</t>
  </si>
  <si>
    <t>10:15pm</t>
  </si>
  <si>
    <t>Dehu RD</t>
  </si>
  <si>
    <t>jejuri</t>
  </si>
  <si>
    <t>7:45pm</t>
  </si>
  <si>
    <t>8:40pm</t>
  </si>
  <si>
    <t>Ramdara</t>
  </si>
  <si>
    <t>Aditya</t>
  </si>
  <si>
    <t>7:05am</t>
  </si>
  <si>
    <t>Camp</t>
  </si>
  <si>
    <t>Vias</t>
  </si>
  <si>
    <t>4:25pm</t>
  </si>
  <si>
    <t>Sanak Sanatan Pr</t>
  </si>
  <si>
    <t>Narayanpur</t>
  </si>
  <si>
    <t>Amit Pr</t>
  </si>
  <si>
    <t>10:00am</t>
  </si>
  <si>
    <t>8:00PM</t>
  </si>
  <si>
    <t>Madhukiran Pr</t>
  </si>
  <si>
    <t>Kunjabhihari</t>
  </si>
  <si>
    <t>7:40am</t>
  </si>
  <si>
    <t>2:45pm</t>
  </si>
  <si>
    <t>7:10pm</t>
  </si>
  <si>
    <t>Uruli Kanchan</t>
  </si>
  <si>
    <t>Viman Nagar</t>
  </si>
  <si>
    <t>1:45pm</t>
  </si>
  <si>
    <t>June</t>
  </si>
  <si>
    <t>10:35AM</t>
  </si>
  <si>
    <t>12:00PM</t>
  </si>
  <si>
    <t>4:01PM</t>
  </si>
  <si>
    <t>6:14PM</t>
  </si>
  <si>
    <t>Saswad</t>
  </si>
  <si>
    <t>7:50am</t>
  </si>
  <si>
    <t>Dehu</t>
  </si>
  <si>
    <t>11:26am</t>
  </si>
  <si>
    <t>5:25pm</t>
  </si>
  <si>
    <t xml:space="preserve">1 Day Bus Party </t>
  </si>
  <si>
    <t>7:25am</t>
  </si>
  <si>
    <t>7:57pm</t>
  </si>
  <si>
    <t>4:40PM</t>
  </si>
  <si>
    <t>7:37PM</t>
  </si>
  <si>
    <t>katraj</t>
  </si>
  <si>
    <t>10:35am</t>
  </si>
  <si>
    <t>12:53pm</t>
  </si>
  <si>
    <t>12:252pm</t>
  </si>
  <si>
    <t>9:25pm</t>
  </si>
  <si>
    <t>S P College</t>
  </si>
  <si>
    <t>21.07.2025</t>
  </si>
  <si>
    <t>RTO/SASWAD</t>
  </si>
  <si>
    <t>9:20AM</t>
  </si>
  <si>
    <t>5:34pm</t>
  </si>
  <si>
    <t>6:39pm</t>
  </si>
  <si>
    <t>24.07.2025</t>
  </si>
  <si>
    <t>Nilesh</t>
  </si>
  <si>
    <t>27.07.2025</t>
  </si>
  <si>
    <t>8:05am</t>
  </si>
  <si>
    <t>9:45pm</t>
  </si>
  <si>
    <t>Saswad/1 Day Bus Party</t>
  </si>
  <si>
    <t>28.07.2025</t>
  </si>
  <si>
    <t>4:05PM</t>
  </si>
  <si>
    <t>5:15PM</t>
  </si>
  <si>
    <t>29.07.2025</t>
  </si>
  <si>
    <t>Gokul Nagar/Reparing</t>
  </si>
  <si>
    <t>9:40am</t>
  </si>
  <si>
    <t>12:20pm</t>
  </si>
  <si>
    <t>01.08.2025</t>
  </si>
  <si>
    <t>Aug</t>
  </si>
  <si>
    <t>10:29am</t>
  </si>
  <si>
    <t>03.08.2025</t>
  </si>
  <si>
    <t>FFL</t>
  </si>
  <si>
    <t>5:30PM</t>
  </si>
  <si>
    <t>Swargate</t>
  </si>
  <si>
    <t>VIIT Voice</t>
  </si>
  <si>
    <t>SSCP</t>
  </si>
  <si>
    <t>Venudhari Krishna Pr</t>
  </si>
  <si>
    <t>05.08.2025</t>
  </si>
  <si>
    <t>10:58AM</t>
  </si>
  <si>
    <t>11:30PM</t>
  </si>
  <si>
    <t>06.08.2025</t>
  </si>
  <si>
    <t>11:20AM</t>
  </si>
  <si>
    <t>11:50m</t>
  </si>
  <si>
    <t>House Keeping</t>
  </si>
  <si>
    <t>2:30pm</t>
  </si>
  <si>
    <t>08.08.2025</t>
  </si>
  <si>
    <t>12.08.2025</t>
  </si>
  <si>
    <t>10:50am</t>
  </si>
  <si>
    <t>13.08.2025</t>
  </si>
  <si>
    <t>Kiran</t>
  </si>
  <si>
    <t>8:25am</t>
  </si>
  <si>
    <t>12:17pm</t>
  </si>
  <si>
    <t>7:29pm</t>
  </si>
  <si>
    <t>14.08.2025</t>
  </si>
  <si>
    <t>Kaustubha Pr</t>
  </si>
  <si>
    <t>1:00am</t>
  </si>
  <si>
    <t>11:05am</t>
  </si>
  <si>
    <t>3:25pm</t>
  </si>
  <si>
    <t>4:10pm</t>
  </si>
  <si>
    <t>18.08.2025</t>
  </si>
  <si>
    <t>20.08.2025</t>
  </si>
  <si>
    <t>21.08.2025</t>
  </si>
  <si>
    <t>23.08.2025</t>
  </si>
  <si>
    <t>25.08.2025</t>
  </si>
  <si>
    <t>Gaurang Pran Pr</t>
  </si>
  <si>
    <t>3:20pm</t>
  </si>
  <si>
    <t>8:10pm</t>
  </si>
  <si>
    <t>1:25pm</t>
  </si>
  <si>
    <t>5:10pm</t>
  </si>
  <si>
    <t>Gita Contest</t>
  </si>
  <si>
    <t>Ram krishna Vithal Pr</t>
  </si>
  <si>
    <t>CV2025080497</t>
  </si>
  <si>
    <t>Karnataka</t>
  </si>
  <si>
    <t>Bus Party</t>
  </si>
  <si>
    <t>Paud</t>
  </si>
  <si>
    <t>8:55pm</t>
  </si>
  <si>
    <t>11:30am</t>
  </si>
  <si>
    <t>4:34pm</t>
  </si>
  <si>
    <t>Madan Mohan Pr</t>
  </si>
  <si>
    <t>27.08.2025</t>
  </si>
  <si>
    <t>Harinnam Sankirtan</t>
  </si>
  <si>
    <t>7:39PM</t>
  </si>
  <si>
    <t>28.08.2025</t>
  </si>
  <si>
    <t>3:30PM</t>
  </si>
  <si>
    <t>8:02PM</t>
  </si>
  <si>
    <t>29.08.2025</t>
  </si>
  <si>
    <t>10:31AM</t>
  </si>
  <si>
    <t>1:50pm</t>
  </si>
  <si>
    <t>D T  Festival Dep.</t>
  </si>
  <si>
    <t>12:53am</t>
  </si>
  <si>
    <t>2:30am</t>
  </si>
  <si>
    <t>30.08.2025</t>
  </si>
  <si>
    <t>10:30pm</t>
  </si>
  <si>
    <t>31.08.2025</t>
  </si>
  <si>
    <t>11:45AM</t>
  </si>
  <si>
    <t>4:10PM</t>
  </si>
  <si>
    <t>01.09.2025</t>
  </si>
  <si>
    <t>Achintya Balaram Pr</t>
  </si>
  <si>
    <t>Sep.</t>
  </si>
  <si>
    <t>Damodar Mentanance</t>
  </si>
  <si>
    <t>Anil</t>
  </si>
  <si>
    <t>02.09.2025</t>
  </si>
  <si>
    <t>Dharma Raj</t>
  </si>
  <si>
    <t>9:30PM</t>
  </si>
  <si>
    <t>9:45PM</t>
  </si>
  <si>
    <t>Pandharpur</t>
  </si>
  <si>
    <t>CV2025080667</t>
  </si>
  <si>
    <t>CV2025080666</t>
  </si>
  <si>
    <t>CV2025080640</t>
  </si>
  <si>
    <t>CV2025080067</t>
  </si>
  <si>
    <t>CV2025080068</t>
  </si>
  <si>
    <t>7:35PM</t>
  </si>
  <si>
    <t>8:15PM</t>
  </si>
  <si>
    <t>03.09.2025</t>
  </si>
  <si>
    <t>7:07pm</t>
  </si>
  <si>
    <t>04.09.2025</t>
  </si>
  <si>
    <t>Sushant Pr</t>
  </si>
  <si>
    <t>VRL Pisoli</t>
  </si>
  <si>
    <t>Kiran Pr</t>
  </si>
  <si>
    <t>6:0pm</t>
  </si>
  <si>
    <t>Shivaramananad Pr</t>
  </si>
  <si>
    <t>Banty Pr</t>
  </si>
  <si>
    <t>8:44PM</t>
  </si>
  <si>
    <t>9:40PM</t>
  </si>
  <si>
    <t>05.09.2025</t>
  </si>
  <si>
    <t>04:45:pm</t>
  </si>
  <si>
    <t>8:00pm</t>
  </si>
  <si>
    <t>jivadaya</t>
  </si>
  <si>
    <t>Bhavatarini Lakshmi Mtj</t>
  </si>
  <si>
    <t>Jivadaya/Bus Party</t>
  </si>
  <si>
    <t>06.09.2025</t>
  </si>
  <si>
    <t>Guest H. Godown</t>
  </si>
  <si>
    <t>Sri Gaurabhajta Pr</t>
  </si>
  <si>
    <t>PUC/Katraj</t>
  </si>
  <si>
    <t>3:05pm</t>
  </si>
  <si>
    <t>Bhavatari Mtj</t>
  </si>
  <si>
    <t>08.09.2025</t>
  </si>
  <si>
    <t>Amit Tantia</t>
  </si>
  <si>
    <t>Dagdu Sheth Ganpati</t>
  </si>
  <si>
    <t>Fine</t>
  </si>
  <si>
    <t>Shailesh Pr</t>
  </si>
  <si>
    <t>JDOD</t>
  </si>
  <si>
    <t>5:11pm</t>
  </si>
  <si>
    <t>09.09.2025</t>
  </si>
  <si>
    <t>1:45m</t>
  </si>
  <si>
    <t>6:08pm</t>
  </si>
  <si>
    <t>9:05pm</t>
  </si>
  <si>
    <t>Railway Station</t>
  </si>
  <si>
    <t>2:15PM</t>
  </si>
  <si>
    <t>6:25PM</t>
  </si>
  <si>
    <t>12:57PM</t>
  </si>
  <si>
    <t>1:51PM</t>
  </si>
  <si>
    <t>10.09.2025</t>
  </si>
  <si>
    <t>11.09.2025</t>
  </si>
  <si>
    <t>2:10pm</t>
  </si>
  <si>
    <t>12.09.2025</t>
  </si>
  <si>
    <t>Amt Pr</t>
  </si>
  <si>
    <t>13.09.2025</t>
  </si>
  <si>
    <t>2:37pm</t>
  </si>
  <si>
    <t>15.09.2025</t>
  </si>
  <si>
    <t>4:50pm</t>
  </si>
  <si>
    <t>Pirangut</t>
  </si>
  <si>
    <t>7:45am</t>
  </si>
  <si>
    <t>9:00pm</t>
  </si>
  <si>
    <t>8:45pm</t>
  </si>
  <si>
    <t>16.09.2025</t>
  </si>
  <si>
    <t>Raghunandan Acharya Pr</t>
  </si>
  <si>
    <t>5:23pm</t>
  </si>
  <si>
    <t xml:space="preserve">Sanjay </t>
  </si>
  <si>
    <t>17.09.2025</t>
  </si>
  <si>
    <t>19.09.2025</t>
  </si>
  <si>
    <t>Govinda Godown</t>
  </si>
  <si>
    <t>7:25pm</t>
  </si>
  <si>
    <t>YUGAL Shyam Pr</t>
  </si>
  <si>
    <t>Ramkrishna Vithal Pr</t>
  </si>
  <si>
    <t>7:35am</t>
  </si>
  <si>
    <t>10:05am</t>
  </si>
  <si>
    <t>20.09.2025</t>
  </si>
  <si>
    <t>4:57pm</t>
  </si>
  <si>
    <t>Evening Harinam</t>
  </si>
  <si>
    <t>Katrtaj</t>
  </si>
  <si>
    <t>6:05om</t>
  </si>
  <si>
    <t>Kunjbhihari</t>
  </si>
  <si>
    <t>7:10am</t>
  </si>
  <si>
    <t>Katrajn Washing</t>
  </si>
  <si>
    <t>5:46pm</t>
  </si>
  <si>
    <t>7:47pm</t>
  </si>
  <si>
    <t>Sushant</t>
  </si>
  <si>
    <t>22.09.2025</t>
  </si>
  <si>
    <t>1:05pm</t>
  </si>
  <si>
    <t>23.09.2025</t>
  </si>
  <si>
    <t>23.09.2026</t>
  </si>
  <si>
    <t>23.09.2027</t>
  </si>
  <si>
    <t>6:40am</t>
  </si>
  <si>
    <t>12:45pm</t>
  </si>
  <si>
    <t>1:10pm</t>
  </si>
  <si>
    <t>11:10am</t>
  </si>
  <si>
    <t>3:45pm</t>
  </si>
  <si>
    <t>7:20pm</t>
  </si>
  <si>
    <t>8:36pm</t>
  </si>
  <si>
    <t>Kamyan Pr</t>
  </si>
  <si>
    <t>24.09.2027</t>
  </si>
  <si>
    <t>7:30am</t>
  </si>
  <si>
    <t>9:50am</t>
  </si>
  <si>
    <t>25.09.2027</t>
  </si>
  <si>
    <t>Lavvkush Pr</t>
  </si>
  <si>
    <t>5:05PM</t>
  </si>
  <si>
    <t>27.09.2027</t>
  </si>
  <si>
    <t>29.09.2027</t>
  </si>
  <si>
    <t>6:50pm</t>
  </si>
  <si>
    <t>01.10.2025</t>
  </si>
  <si>
    <t>RVC</t>
  </si>
  <si>
    <t>Chitra Lalita Mtj</t>
  </si>
  <si>
    <t>1:37pm</t>
  </si>
  <si>
    <t>02.10.2025</t>
  </si>
  <si>
    <t>Sachin Karale Pr</t>
  </si>
  <si>
    <t>5:45pm</t>
  </si>
  <si>
    <t>03.10.2025</t>
  </si>
  <si>
    <t>12:40pm</t>
  </si>
  <si>
    <t>9:05am</t>
  </si>
  <si>
    <t>Sumit Pr</t>
  </si>
  <si>
    <t>khed Shivapur [Garage)</t>
  </si>
  <si>
    <t>9:55am</t>
  </si>
  <si>
    <t>Dharmaraj</t>
  </si>
  <si>
    <t>8:00am</t>
  </si>
  <si>
    <t>Sri Caitanyachandra Pr</t>
  </si>
  <si>
    <t>Bavdhan Centre</t>
  </si>
  <si>
    <t>Veiha</t>
  </si>
  <si>
    <t>Chibli</t>
  </si>
  <si>
    <t>04.10.2025</t>
  </si>
  <si>
    <t>Sanjay</t>
  </si>
  <si>
    <t>12:35pm</t>
  </si>
  <si>
    <t>VRL/Pisoli</t>
  </si>
  <si>
    <t>10:53am</t>
  </si>
  <si>
    <t>06.10.2025</t>
  </si>
  <si>
    <t>07.10.2025</t>
  </si>
  <si>
    <t>5:25am</t>
  </si>
  <si>
    <t>08.10.2025</t>
  </si>
  <si>
    <t>09.10.2025</t>
  </si>
  <si>
    <t>5:02pm</t>
  </si>
  <si>
    <t>10.10.2025</t>
  </si>
  <si>
    <t>Jivadaya Oneline</t>
  </si>
  <si>
    <t>Market Yard/Post Office</t>
  </si>
  <si>
    <t>11.10.2025</t>
  </si>
  <si>
    <t>Lavkush Pr</t>
  </si>
  <si>
    <t>11:25AM</t>
  </si>
  <si>
    <t>12:30PM</t>
  </si>
  <si>
    <t>12:10PM</t>
  </si>
  <si>
    <t>2:00PM</t>
  </si>
  <si>
    <t>7:15PM</t>
  </si>
  <si>
    <t>11:35AM</t>
  </si>
  <si>
    <t>5:10PM</t>
  </si>
  <si>
    <t>5:20PM</t>
  </si>
  <si>
    <t>5:40PM</t>
  </si>
  <si>
    <t>9:15PM</t>
  </si>
  <si>
    <t>8:45am</t>
  </si>
  <si>
    <t>7:17am</t>
  </si>
  <si>
    <t>9:49pm</t>
  </si>
  <si>
    <t>5:50AM</t>
  </si>
  <si>
    <t>7:25PM</t>
  </si>
  <si>
    <t>3:50am</t>
  </si>
  <si>
    <t>sscp</t>
  </si>
  <si>
    <t>Sanak sanatan Pr</t>
  </si>
  <si>
    <t>Madhukiran pr</t>
  </si>
  <si>
    <t>One dayBus Party</t>
  </si>
  <si>
    <t>Bus party</t>
  </si>
  <si>
    <t>Pad yatra</t>
  </si>
  <si>
    <t>13.10.2025</t>
  </si>
  <si>
    <t>5:20pm</t>
  </si>
  <si>
    <t>14.10.2025</t>
  </si>
  <si>
    <t>15.10.2025</t>
  </si>
  <si>
    <t>16.10.2025</t>
  </si>
  <si>
    <t>Mukund Pr</t>
  </si>
  <si>
    <t>7:35pm</t>
  </si>
  <si>
    <t>3:40am</t>
  </si>
  <si>
    <t>4:45am</t>
  </si>
  <si>
    <t>24.10.2025</t>
  </si>
  <si>
    <t>5:31pm</t>
  </si>
  <si>
    <t>6:05pm</t>
  </si>
  <si>
    <t>27.10.2025</t>
  </si>
  <si>
    <t>12:51pm</t>
  </si>
  <si>
    <t>Rajeev Lochan Pr</t>
  </si>
  <si>
    <t>Bhavatarini Mtj</t>
  </si>
  <si>
    <t>28.10.2025</t>
  </si>
  <si>
    <t>12:56pm</t>
  </si>
  <si>
    <t>30.10.2025</t>
  </si>
  <si>
    <t>12:05PM</t>
  </si>
  <si>
    <t>1:30PM</t>
  </si>
  <si>
    <t>One Day Bus Party</t>
  </si>
  <si>
    <t>Madan Manohan</t>
  </si>
  <si>
    <t>Rutvik Pr</t>
  </si>
  <si>
    <t>Market Yard/Flower</t>
  </si>
  <si>
    <t>Velha/Bus Party</t>
  </si>
  <si>
    <t>Katraj/Harinam</t>
  </si>
  <si>
    <t>Bibvewadi/Harinam Sankirtan</t>
  </si>
  <si>
    <t>Katraj/Harinam Sankirttan</t>
  </si>
  <si>
    <t>Tilekar Nagar/Harinam Sankirtan</t>
  </si>
  <si>
    <t>Guest H. Godown books Shift to Our Godown</t>
  </si>
  <si>
    <r>
      <t>Theur</t>
    </r>
    <r>
      <rPr>
        <b/>
        <sz val="11"/>
        <color theme="1"/>
        <rFont val="Calibri"/>
        <family val="2"/>
        <scheme val="minor"/>
      </rPr>
      <t>/Books Distribustion</t>
    </r>
  </si>
  <si>
    <t>Dagadu S Ganapati/B.Distribustion</t>
  </si>
  <si>
    <t>Shivaji Nagar/Transportation</t>
  </si>
  <si>
    <t>Viman nagag/Air Port</t>
  </si>
  <si>
    <t>Shanipar/Transportation</t>
  </si>
  <si>
    <t>Khadi Machine/Transportation</t>
  </si>
  <si>
    <t>Swargate/Transportation</t>
  </si>
  <si>
    <t>F. Market/Flower</t>
  </si>
  <si>
    <t>Bibwewadi/Material Shifting</t>
  </si>
  <si>
    <t>Handewadi/Books Destribution</t>
  </si>
  <si>
    <t>Gangadham/Harinam</t>
  </si>
  <si>
    <t>Market Yard/Transportation</t>
  </si>
  <si>
    <t>Shanti Nagar/Harinam</t>
  </si>
  <si>
    <t>Ganga Dham/Harinam</t>
  </si>
  <si>
    <t>Upper/Harinam</t>
  </si>
  <si>
    <t>Sangam Wadi/Transportation</t>
  </si>
  <si>
    <t>Amit Pr/RVC</t>
  </si>
  <si>
    <t>Bhibvewadi/Material Shifting</t>
  </si>
  <si>
    <t>Rutwick Pr</t>
  </si>
  <si>
    <t>Market Yard/Trasportaion (Poonatransport)</t>
  </si>
  <si>
    <t>Fursungi/Garden Material</t>
  </si>
  <si>
    <t>Katraj/Washing</t>
  </si>
  <si>
    <t>Market Yard/Prasad Distribution</t>
  </si>
  <si>
    <t>Market Yard/Transport/Poona Transport</t>
  </si>
  <si>
    <t>Pune Station/Trasportation</t>
  </si>
  <si>
    <t>Loni MIT/Trasportation</t>
  </si>
  <si>
    <t>Loni/Bringing Pant</t>
  </si>
  <si>
    <t>Datta Wadi/Flower pot</t>
  </si>
  <si>
    <t>Yugal Shyam Pr</t>
  </si>
  <si>
    <t>K K  Market/Stationery</t>
  </si>
  <si>
    <t>Mangalwar Pweth/House Keeping Material</t>
  </si>
  <si>
    <t>Mumbai/Flower</t>
  </si>
  <si>
    <t>Uttam Nagar/Tiles Transportation</t>
  </si>
  <si>
    <t>Janmastami Festival</t>
  </si>
  <si>
    <t>31.10.2025</t>
  </si>
  <si>
    <t>01.11.2025</t>
  </si>
  <si>
    <t>Nov.</t>
  </si>
  <si>
    <t>Vibhushan Priya Pr</t>
  </si>
  <si>
    <t>Alandi/12 Boxes Shifted from their home to Alandi</t>
  </si>
  <si>
    <t>03.11.2025</t>
  </si>
  <si>
    <t>Sri GAURABHAKTA Pr/Sanaka sanatan Pr</t>
  </si>
  <si>
    <t>5:05pm</t>
  </si>
  <si>
    <t>04.11.2025</t>
  </si>
  <si>
    <t>11:40am</t>
  </si>
  <si>
    <t>VIIT/Harinam</t>
  </si>
  <si>
    <t>Daud Railway Station/Brahmachari</t>
  </si>
  <si>
    <t>Lavkush</t>
  </si>
  <si>
    <t>G. Godown</t>
  </si>
  <si>
    <t>11:58am</t>
  </si>
  <si>
    <t>3:35pm</t>
  </si>
  <si>
    <t>5:35pm</t>
  </si>
  <si>
    <t>05.11.2025</t>
  </si>
  <si>
    <t>Khadi machin</t>
  </si>
  <si>
    <t>06.11.2025</t>
  </si>
  <si>
    <t>Station/Transportation</t>
  </si>
  <si>
    <t>07.11.2025</t>
  </si>
  <si>
    <t>Gokul Nagar/Harinam</t>
  </si>
  <si>
    <t>Station/Transportation/3712Sent to Bilaspur as per Hg. SSCP.  to be retruned. -sent through train. for Gita contest.</t>
  </si>
  <si>
    <t>Swargate/Transportation/Param Gati Pr/Krpshnika Travels/Goa Panjim /Ch.no 3090</t>
  </si>
  <si>
    <t>VRL-Psoli-/Station/Transportaion/Prakash Transport/3676/3677(Vrl)Bhatkal/Athani 3682/Kalburgi/Prakash Transport</t>
  </si>
  <si>
    <t>VRL/Pisoli3688/3690/Hubbali/bilaspur</t>
  </si>
  <si>
    <t>Station/Transportation(Prakash Transport)3547/12Box</t>
  </si>
  <si>
    <t>VRL/Pisoli/3532/jivaday Oneline/Tronica City</t>
  </si>
  <si>
    <t>Station/Transportation(Prakash Transport)/Jivadaya Oneline/Gaurbahkta Pr</t>
  </si>
  <si>
    <t>VRL/Pisoli/3503/Sri Narada Tskp/Arasikere/Karnataka(Madhukiran Pr)</t>
  </si>
  <si>
    <t>VRL/Pisoli/12 Boxes Bidar</t>
  </si>
  <si>
    <t>Katraj/Transportation/Sent to Nashik for Gita contest - through transport - order by Hg. Sanak sanatan pr. through Garuda.3469/12Boxes</t>
  </si>
  <si>
    <t>VRL Pisoli/Venudhari Krishna Pr Ch.3298/27 Boxes/Odisa</t>
  </si>
  <si>
    <t>VRL/ Pisoli/Madhukiran Pr/Ch 3242 Sri Narada Tskp/Madhukiran-Chickballapur-6Boxes &amp; ch3241Suddha Citta Pr/Bhuwaneswar 5Boxes</t>
  </si>
  <si>
    <t>Swargate/Transportation/Param Gati Pr/Krpshnika Travels/Goa Panjim /Ch.no 3237/10Boxes</t>
  </si>
  <si>
    <t>VRL /Pisoli/Ch. 3233-Maniraj Neemai Pr -Challakere 4 Boxes</t>
  </si>
  <si>
    <t>VRL/ Pisoli /Ch 3171 Satish Sherkar Pr/Kusapall-Goa/5 Boxes</t>
  </si>
  <si>
    <t>VRL/ Pisoli/Ch 3112  Rasarasik Pr/Bailakere Udupi /15 Boxes</t>
  </si>
  <si>
    <t>VRL /Pisoli/Ch 3182 Suddha Citta/Seshadripuram  Bangalore/10Boxes</t>
  </si>
  <si>
    <t>Pune Station/Prakash Travels/8 Boxes/Gulbarga/Ch 3150/ Jivadaya Online</t>
  </si>
  <si>
    <t>VRL /Pisoli/Ch 3131/Revati Pati Pr/Ganjam, Odisha/8 Boxes</t>
  </si>
  <si>
    <t>VRL/ Pisoli/Madhukiran Pr/Gadag83315/3329</t>
  </si>
  <si>
    <t>Swargat/Transportation/Ch no 3006 Vinayak Shukre-Param Gati10Boxe-Goa/</t>
  </si>
  <si>
    <t>VRL Pisoli/Ch 2990-Kashmira Ravindra Shah-</t>
  </si>
  <si>
    <t>VRL/ Pisoli/ch no 2979/2978/Bellari/Jogbani 12 Boxes</t>
  </si>
  <si>
    <t>Swargat/Transportation/Ch no 2907,2908,2909,2910,2911/Goa Krihnika Transport</t>
  </si>
  <si>
    <t>Shivaji Nagar/Transportation/Vinod Transport/900 rs for 9 Boxes and 90 rs Hamali Charges // Sent to Nashik for Gita Contest Charges Taken/Ch 2888 SacinandanBhagwan Pr</t>
  </si>
  <si>
    <t>VRL/Pisoli/Ch 2886/Sent to Belgam</t>
  </si>
  <si>
    <t>VRL/Pisoli/Ch 2611/2612/2613/Tromika city/Assam/Karnataka/30 Boxes</t>
  </si>
  <si>
    <t>08.11.2025</t>
  </si>
  <si>
    <t>VRL/Pisoli/16 Boxes/Chintamani Karnataka</t>
  </si>
  <si>
    <t>Rana Pr</t>
  </si>
  <si>
    <t>Swargate/Krishnika /3738.3737,3734,3733,3732/31 Boxes/Goa</t>
  </si>
  <si>
    <t>Swargae/22 Boxes/Latur</t>
  </si>
  <si>
    <t>09.11.2025</t>
  </si>
  <si>
    <t>10.11.2025</t>
  </si>
  <si>
    <t>1:120pm</t>
  </si>
  <si>
    <t>Ch 3747-Srila Prabhupada Kripa Tskp (Jivadaya)-Sent to Tumkur For Bus Party Order by Madhukiran Pr 11Boxes</t>
  </si>
  <si>
    <t>Ch 3755- Jivadaya Collection-Sent to sent to ISKCON Sarjapur - Bengalore - Order by Vrja Krishna pr - 9513500889/85Boxes</t>
  </si>
  <si>
    <t>7:00pm</t>
  </si>
  <si>
    <t>08.07.2025</t>
  </si>
  <si>
    <t>VRL/Pisoli/Ch no 2490 Madhukiran Pr/Hubballi /42 Boxes</t>
  </si>
  <si>
    <t>VRL/Pisoli/Ch 2414 Sri Narada Tskp/ Hindupur/6Boxes</t>
  </si>
  <si>
    <t>VRL/Pisoli/Ch no2377/Jivadaya Oneline Tronica City/25 Boxes</t>
  </si>
  <si>
    <t>VRL/Pisoli/ch 2369 Madhukiran Pr/Hubbali /Ch 2368 Madhukiran Pr Mudhol /16 Boxes</t>
  </si>
  <si>
    <t>VRL/Pisoli/Ch 2298/2299/2300/2301/2302/ Madhukiran Pr,Braj Vilas Pr,Sri Narada Tskp/Dharwad,Kalburgi,Patna,Hubbali, Gadag</t>
  </si>
  <si>
    <t>VRL/Pisoli/Ch No 2310-Madhukiran/ Hubbali</t>
  </si>
  <si>
    <t>VRL/Pisoli/Ch No 2535/2536/Madhukiran Pr/Bidar Davangiri</t>
  </si>
  <si>
    <t>VRL/Pisoli/Ch No 2566/Kashmira Ravindra Shah/jalpaiguri</t>
  </si>
  <si>
    <t>VRL/Pisoli/Ch 2573/ Brjj Vilas Pr/Jogbani</t>
  </si>
  <si>
    <t>VRL/Pisoli/35618/3564/3561/3564/3565/Vijayapura/Davangiri/</t>
  </si>
  <si>
    <t>VRL/Pisoli/Ch no 3654/JDOD/Tranica City</t>
  </si>
  <si>
    <t>11.11.2025</t>
  </si>
  <si>
    <t>Raghu Nandan Acharya Pr</t>
  </si>
  <si>
    <t>VRL/Pisoli/MantarwadiCh no 3768 Radheshyam Pr. Sent to Vijay Nagar(VRL)/Ch No 3763  Vinayak Subhash Shukre/Param Gati sent to Alibag (Omway Logistic) Mantarwadi</t>
  </si>
  <si>
    <t>12.11.2025</t>
  </si>
  <si>
    <t>Garuda/Shinde Garage/Katraj/Reperig</t>
  </si>
  <si>
    <t>6:30PM</t>
  </si>
  <si>
    <t>Dayalunitai Pr</t>
  </si>
  <si>
    <t>VRL/Pisoli/10 Boxes Bring</t>
  </si>
  <si>
    <t>13.11.2025</t>
  </si>
  <si>
    <t>14.11.2025</t>
  </si>
  <si>
    <t>VRL/Pisoli-Ch 3783 Ashish Bharat Dayma /param Gati/Nagpur</t>
  </si>
  <si>
    <t>15.11.2025</t>
  </si>
  <si>
    <t>Dehu-Alandi/One Day Bus Party/ Ch 3802</t>
  </si>
  <si>
    <t>Asorba</t>
  </si>
  <si>
    <t>9:20pm</t>
  </si>
  <si>
    <t>16.11.2025</t>
  </si>
  <si>
    <t>6:45pm</t>
  </si>
  <si>
    <t>9:10pm</t>
  </si>
  <si>
    <t>Station/Busparty</t>
  </si>
  <si>
    <t>17.11.2025</t>
  </si>
  <si>
    <t>18.11.2025</t>
  </si>
  <si>
    <t>8:16pm</t>
  </si>
  <si>
    <t>ABC Chowk/Ch No 3916  Parakrami Partha /34 Boxes</t>
  </si>
  <si>
    <t>Akash Pr</t>
  </si>
  <si>
    <t>19.11.2025</t>
  </si>
  <si>
    <t>VRL/Pisoli/BG Malayalm/Krishna/SB Set/Inv NVCCJ-24250567/32 Boxes</t>
  </si>
  <si>
    <t>Varje-Swargate/Shastranath Pr-Ch 3940-19 Boxes//Sanak Sanatan Pr-Ch No 3953/8 Boxes</t>
  </si>
  <si>
    <t>20.11.2025</t>
  </si>
  <si>
    <t>Kondhwa/Booklets-Bring</t>
  </si>
  <si>
    <t>10:15am</t>
  </si>
  <si>
    <t>Bhudhawar PETH</t>
  </si>
  <si>
    <t>Nov</t>
  </si>
  <si>
    <t>Amitya Madhusudan Pr</t>
  </si>
  <si>
    <t>Wight</t>
  </si>
  <si>
    <t>22.11.2025</t>
  </si>
  <si>
    <t>Swargate/Ch 4031/Sent to Panjim - Through Krishnika travels.  Gita Contest.</t>
  </si>
  <si>
    <t>Dharmaraj Pr</t>
  </si>
  <si>
    <t>Staion/Ch 4028 Dasaratha Priya Pr/Books sent to Rourkela from pune hatia exp</t>
  </si>
  <si>
    <t>23.11.2025</t>
  </si>
  <si>
    <t>Swargate/Station/Hadapsar/Box 28/krishnka Travels -Goa</t>
  </si>
  <si>
    <t>9:30pm</t>
  </si>
  <si>
    <t>3:50pm</t>
  </si>
  <si>
    <t>VRL/Pisoli/Ch 4018-Kashmira Ravindra Shah Mtj 10 Boxes</t>
  </si>
  <si>
    <t>Katraj/Petrol/Reparing</t>
  </si>
  <si>
    <t>24.11.2025</t>
  </si>
  <si>
    <t>Sri Gaurabhakta Pr</t>
  </si>
  <si>
    <t>Swargate/12 Boxes</t>
  </si>
  <si>
    <t>7:55pm</t>
  </si>
  <si>
    <t>22LTR /Rasa Asharaya Pr/Kothrud</t>
  </si>
  <si>
    <t>Godown</t>
  </si>
  <si>
    <t>25.11.2025</t>
  </si>
  <si>
    <t>Ch 4154 &amp; 4153/Shastranath Pr / Katraj &amp; Swargate 12 Boxes</t>
  </si>
  <si>
    <t>VRL/Pisoli/Ch no 3893/3838/3900/3901/Rajampet</t>
  </si>
  <si>
    <t>Swargate/Bhavani Peth/14 Boxes/Vapi/ JD Logistick</t>
  </si>
  <si>
    <t>Ch 4180 Purushottam Hari Pr 13 Boxes // Books sent to Gwalior for Gita Contest via Train /Ch 4181 Vraja Sampat Pr/ sent to Shivajinagar 10bOXES</t>
  </si>
  <si>
    <t>26.11.2025</t>
  </si>
  <si>
    <t>VRL Pisoli-Ch 4183-Satish Sherkar-Bangaluru-5 Boxes/Nandakumaran Cargo &amp; Movers Bhekrai Nagar Ch 4192- Krishna Karuna-Vijayanagar-30Boxes</t>
  </si>
  <si>
    <t>Ch no 4201-Sanak Sanatan Pr-Krishnikc travels-Swargate-sent to Dandeli/Ch no 4188 Sanak Sanatan Pr-sent to  Mapusa Goa.24Boxes</t>
  </si>
  <si>
    <t>Ch no 4135 One Day Tskp- Vrl Pisoli Tezpur 7 Boxes</t>
  </si>
  <si>
    <t>Ch 4150/4123-Vrl Pisoli-jogabani-8Boxes</t>
  </si>
  <si>
    <t>27.11.2025</t>
  </si>
  <si>
    <t>28.11.2025</t>
  </si>
  <si>
    <t>VRL-Pisoli</t>
  </si>
  <si>
    <t>Kondhawa</t>
  </si>
  <si>
    <t>5:43pm</t>
  </si>
  <si>
    <t>9:57pm</t>
  </si>
  <si>
    <t>Bavdhan/Rasasrya Pr</t>
  </si>
  <si>
    <t>29.11.2025</t>
  </si>
  <si>
    <t>Market Yard</t>
  </si>
  <si>
    <t>Ch 4286 Rasashray Das/ Kothrud-20 Boxes/Ch no 4314- Atulgourang Pr Dhairi-18 Boxes</t>
  </si>
  <si>
    <t>Ganesh Pr</t>
  </si>
  <si>
    <t>Ch No 4329- Jahnava Mtj-Tilekar Nagar-18 Boxes</t>
  </si>
  <si>
    <t xml:space="preserve">CH no 4333 Snehil Agrahari Pr Narhe -10 Boxes </t>
  </si>
  <si>
    <t>Ch no 4380 Puroshoam Hari Pr/Books sent by train to Gwalior/ 50 Boxes</t>
  </si>
  <si>
    <t>30.11.2025</t>
  </si>
  <si>
    <t>Shankar Pr</t>
  </si>
  <si>
    <t>5:07pm</t>
  </si>
  <si>
    <t>Ch no 4287- Kashmira Ravindra Shah Mtj/One Day Bus Part/Laxmi Road</t>
  </si>
  <si>
    <t>Dharmaraj  Pr</t>
  </si>
  <si>
    <t>8:35pm</t>
  </si>
  <si>
    <t>Ch no 4292-  Hari Kirtan/One Day Bus Part/Wagholi</t>
  </si>
  <si>
    <t>01.12.2025</t>
  </si>
  <si>
    <t>Dec.</t>
  </si>
  <si>
    <t>10:30am</t>
  </si>
  <si>
    <t>Anil Pr</t>
  </si>
  <si>
    <t xml:space="preserve">Ch 4449  15 Boxes // Sent via Garuda // Sent to Dhankawadi Bus Stop, Janubai Hall Pune // Ordered by Madhupuri Vallabha Pr </t>
  </si>
  <si>
    <t>02.12.2025</t>
  </si>
  <si>
    <t>Wagholi-Ch 4530-Madan Sundar Pr Sent through Garuda - order by Ashok Pr</t>
  </si>
  <si>
    <t>7::45am</t>
  </si>
  <si>
    <t>1105AM</t>
  </si>
  <si>
    <t>12:35PM</t>
  </si>
  <si>
    <t>1:20PM</t>
  </si>
  <si>
    <t>2:21PM</t>
  </si>
  <si>
    <t>Akash</t>
  </si>
  <si>
    <t>Market Yardv Post Office</t>
  </si>
  <si>
    <t>Rutwik Pr</t>
  </si>
  <si>
    <t>Vrl Pisoli</t>
  </si>
  <si>
    <t>Mantrwadi/Ch 4547-Shastranath Pr Sent to satara with Nand kumar transport AT MANTARWADI.</t>
  </si>
  <si>
    <t>Ch 4511/4516/4517/Braj Vilas Pr/Bhakti Vaibhav Pr/Vinayak Subhash Shukre Pr/Sent to Jammu/By Jammu Tavi Exp.</t>
  </si>
  <si>
    <t>03.12.2025</t>
  </si>
  <si>
    <t>1120am</t>
  </si>
  <si>
    <t>1:30pm</t>
  </si>
  <si>
    <t>3:55pm</t>
  </si>
  <si>
    <t>CH No 4570-Ajay GaurangaPr-Sent via TCI Transport (Garuda)</t>
  </si>
  <si>
    <t>Ch4569 Yogeshwar Gopal( Param Gati Pr)/VRL Pisoli -Bangaluru</t>
  </si>
  <si>
    <t>04.12.2025</t>
  </si>
  <si>
    <t>Ch 4603-Suddha Citta Pr 12Boxes sent to Vapi through Padmavati Travels</t>
  </si>
  <si>
    <t>Ch 4616 Satish Sherkar Books sent to Rajkumar Banglore 560020  throught VRL</t>
  </si>
  <si>
    <t>Ch 4623  Madhupuri Vallabh Books sent to janu bai hall (Dhankawadi)</t>
  </si>
  <si>
    <t>Gajanan Pr</t>
  </si>
  <si>
    <t>Ch 4598 Venudhari Krishna Pr One day bus party /Kandala Pargaon</t>
  </si>
  <si>
    <t>Sri Gaurabhat Pr</t>
  </si>
  <si>
    <t>CH 4643 Suddha Citta Pr Books sent to vapi/Padmavati</t>
  </si>
  <si>
    <t>Ch No 4475 Nitai Padkamal Sent via VRL // Sent to KANAKACHAL   Hubli - 580025/ Ch No 4543 Sanak Sanatan Sent via VRL Sent toMahalingpur</t>
  </si>
  <si>
    <t>05.12.2025</t>
  </si>
  <si>
    <t>06.12.2025</t>
  </si>
  <si>
    <t>07.12.2025</t>
  </si>
  <si>
    <t>VRL-Pisoli Ch no 4773 Arjun Iswar Pr-Sent to Gawliar</t>
  </si>
  <si>
    <t xml:space="preserve">Suddha Citta Das/Sent to Vapi by Train </t>
  </si>
  <si>
    <t>Ch 4798 /4797/4796/ Shastranath Pr/ Yogeshwar Gopal / Venudhari Krishna/Marketyard-Kolhapur-Miraj</t>
  </si>
  <si>
    <t>Ch 4803/Market Yard/Sent to Sambhaji naga-</t>
  </si>
  <si>
    <t>11:20am</t>
  </si>
  <si>
    <t>6:35pm</t>
  </si>
  <si>
    <t>CH 4050-Radheshyam Das-Books taken by Dheeraj pr for loni voice sent from st transport</t>
  </si>
  <si>
    <t>JOOD</t>
  </si>
  <si>
    <t xml:space="preserve">vrl-Pisoli </t>
  </si>
  <si>
    <t>Ch 4826-suddha Citta- Samarpita Vrajesvar  Pr-Bhubaneshwer/Ch 4827 Chandrabhanu Pr Tukarpallych/ 4828-Nitai Padkamal Pr- Sent to Sachidulal Gaurhar-Korat</t>
  </si>
  <si>
    <t>1:15pm</t>
  </si>
  <si>
    <t>CH 4824/CH 4868/Ch 4865-Yogeshwar Gopal  Pr &amp; Revati Pati -VRL-Rajaji Nagar &amp; Aligargh</t>
  </si>
  <si>
    <t xml:space="preserve">Market Yard /Ch 4880- Murali Mukunda Pr-25 Boxes // Sent via Garuda // Sent to Shah Transport // Sent to Dattatraya Vasant Nalawade  Dist - Sangli Maharashtra - 415311 Ph no. - 9890756537 // Ordered by HG SGBP </t>
  </si>
  <si>
    <t xml:space="preserve">Ch 4899/4900 / Satish Serkar Pr &amp; Gaurang Pran Pr (VRL) Sent to Rajkuma -Bangalore / Sent to  Inder Singh Adhikari Haldwani </t>
  </si>
  <si>
    <t>Ch 4889/4901-Revati Kripa Pr &amp; Mahavirya Pr ( Varje)-Nandurbar</t>
  </si>
  <si>
    <t>7:23pm</t>
  </si>
  <si>
    <t>VRL/Challan No5 Boxes // Sent via VRL // To Pay, Godown Delivery // Sent to Prasenjit Dutta , C/O Dilip Kumar Dutta , Rubber Bagan Lane 2 , P.0,, Tezpur ,  Dist Sonitpur , Pin 784001 Assam , Phone Number 9435185395 / 8011506828 // Ordered by Amit Tantia Pr via Whatsapp</t>
  </si>
  <si>
    <t>Railway Station/Suddha Citta Pr 800 BG H PKT</t>
  </si>
  <si>
    <t>kotharud/Katraj-Ch no 4915-Madhukiran-/ Mysore-/ Rasashray Pr</t>
  </si>
  <si>
    <t>Railway Station-Ch no 5027-Purushottam Hari Das-sent to gwalior  by train, order by arjun ishwar pr</t>
  </si>
  <si>
    <t>Dharmawat Petrol Pump-Pissoli</t>
  </si>
  <si>
    <t>11:02am</t>
  </si>
  <si>
    <t>Swargate/Ch 5120-Rvc Tula Stall-Mansi Turism-Sent to Akola</t>
  </si>
  <si>
    <t xml:space="preserve">CH 5145-Suvarnamayee Gaurangi-Books sent to nashik other via jolly transport/Ch no 5144-Books sent to bajaj electrical nashik through jolly </t>
  </si>
  <si>
    <t>One Day Bus Party Kusegaon / Ch no 5155-Bhavatarini Lakshmi Mti-</t>
  </si>
  <si>
    <t>Mumbai/Wada/ All Payment Cleare</t>
  </si>
  <si>
    <t>6:45PM</t>
  </si>
  <si>
    <t>Suresh Pr</t>
  </si>
  <si>
    <t>2:50pm</t>
  </si>
  <si>
    <t>2:55pm</t>
  </si>
  <si>
    <t>Swargate-Ch No 5186 Param Gati Prabhu-Sent to Goa, Shyam Rasik Prabhuji, Madgoan (Krushnika Transport)</t>
  </si>
  <si>
    <t>VRL -PISOLI-ch 5219Madan Sundar Pr-Sent to Rajnish Verma Pathankot -145001/5220- Suryakant Krishna- Suryakant Krishna-Hubali</t>
  </si>
  <si>
    <t>VRL -PISOLI-Ch No-5128-Sanak Sanatan-Sent to Sirsi</t>
  </si>
  <si>
    <t>VRL -PISOLI-Ch 5174- Bhayahari - To  Dr Bipin Kumar  Jharkhand</t>
  </si>
  <si>
    <t>Anjaniputra Travels, Padmavati -Ch No-5281-Suddha Citta Pr-Sent for Valsad Gita Contest -Ordered by HG Jagadishwar Mohan Pr</t>
  </si>
  <si>
    <t>Ch No-5248-Amiya Madhusudan-Taken by Sanket chaudhary Pr -Shiwapur</t>
  </si>
  <si>
    <t>9:10am</t>
  </si>
  <si>
    <t>9:11pm</t>
  </si>
  <si>
    <t>7:36am</t>
  </si>
  <si>
    <t>10:05pm</t>
  </si>
  <si>
    <t>6:48pm</t>
  </si>
  <si>
    <t>7:25:25am</t>
  </si>
  <si>
    <t>8:15pm</t>
  </si>
  <si>
    <t>9:46pm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</si>
  <si>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</si>
  <si>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</si>
  <si>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</si>
  <si>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</si>
  <si>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</si>
  <si>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</si>
  <si>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</si>
  <si>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</si>
  <si>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</si>
  <si>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</si>
  <si>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</si>
  <si>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</si>
  <si>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</si>
  <si>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</si>
  <si>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</si>
  <si>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VRL- Pisoli-Ch No 5239-Suddha Citta -Order by Krishna Kirtan Pr-Sent to-Santosh-Anantapur-</t>
  </si>
  <si>
    <t>Naigoan/Vraja Krishna Pr-One Day Bus Party Ch No 5241</t>
  </si>
  <si>
    <t>VRL- PisoliCh 5320-Purushottam Chaitanya Sent to Vaibhavwadi, Sindhudurg/5321Kashmira Shah-to Tushar Sharma -Shanti Nagar Tri Nagar Delhi</t>
  </si>
  <si>
    <t>23.12.2025</t>
  </si>
  <si>
    <t>2:45PM</t>
  </si>
  <si>
    <t>12:20PM</t>
  </si>
  <si>
    <t>2:10PM</t>
  </si>
  <si>
    <t>24.12.2025</t>
  </si>
  <si>
    <t>7:50pm</t>
  </si>
  <si>
    <t>VRL-Pisoli-Ch No-5410/ Revati Pati Pr-Sent to Name:- Arvind Kumar Ram &amp; Ch No 5411 Param Gati -(Sent via Train to Renigunta)</t>
  </si>
  <si>
    <t>25.12.2025</t>
  </si>
  <si>
    <t>Shivaji Nagar Ch No 5340/5341 -Madan Sundar Ordered by HG Abhay Manohar Pr/ Sent to Wakdewadi Bus Stand /Muktai Nagar</t>
  </si>
  <si>
    <t>VRL-Pisoli-Ch No-5351-Param Gati Prabhu-Sent to B V Siva Krishna,Andra Pradesh/Ch No Sent to K.Santhosh kumar S.B Hyderabad</t>
  </si>
  <si>
    <t>Kartaj-Ch NO 5378 Taken by Abhay Manohar Pr // sent to BagalKot</t>
  </si>
  <si>
    <t>4:45PM</t>
  </si>
  <si>
    <t>Vraja Krishna Pr</t>
  </si>
  <si>
    <t>9:40pm</t>
  </si>
  <si>
    <t>Wagholi/Bhavatiri Lakshmi Mtji One Day Busparty Ch No 1539</t>
  </si>
  <si>
    <t>9:50pm</t>
  </si>
  <si>
    <t>Dehu(Desel Payment taken by SSCP )</t>
  </si>
  <si>
    <t>Market Yard/Garden Department</t>
  </si>
  <si>
    <t>Pooja Thali</t>
  </si>
  <si>
    <t>Gauranga Pran Pr</t>
  </si>
  <si>
    <t>Shubhakrisna Pr</t>
  </si>
  <si>
    <t>Katraj/Showroom</t>
  </si>
  <si>
    <t xml:space="preserve">Wagholi/Bhavatiri Lakshmi Mtji One Day Busparty Ch No </t>
  </si>
  <si>
    <t>27.12.2025</t>
  </si>
  <si>
    <t>2:35PM</t>
  </si>
  <si>
    <t>3:40PM</t>
  </si>
  <si>
    <t>28.12.2025</t>
  </si>
  <si>
    <t>10:39pm</t>
  </si>
  <si>
    <t>Market Yard/Poja Thali</t>
  </si>
  <si>
    <t>29.12.2025</t>
  </si>
  <si>
    <t xml:space="preserve">VRL- Pisoli-Ch NO 5607-Madan Sundar Pr-Sent to . Dhiraj Paul. Basudev Bhawan  Assam. </t>
  </si>
  <si>
    <t>Yogesh</t>
  </si>
  <si>
    <t>8:50pm</t>
  </si>
  <si>
    <t>12:26pm</t>
  </si>
  <si>
    <t>30.12.2025</t>
  </si>
  <si>
    <t>Hadapsar/Ch No 5573Vibhava Krishna Pr-Sent to Bhagavatam Saptaha at Hadapsar. refer - Shridhar madhav Pr - 9119436809</t>
  </si>
  <si>
    <t>Market Yard-</t>
  </si>
  <si>
    <t>Balaji Mandir</t>
  </si>
  <si>
    <t>Flower Market</t>
  </si>
  <si>
    <t>31.12.2025</t>
  </si>
  <si>
    <t>Vardraj Pr</t>
  </si>
  <si>
    <t>Market YARD</t>
  </si>
  <si>
    <t>1:45PM</t>
  </si>
  <si>
    <t>5:25PM</t>
  </si>
  <si>
    <t>VRL-Pisoli-Ch 5679/5680/568185682-Jayapanchali -Yogeshwar Gopal Pr- Suryakant Krishna Pr-Param Gati Prabhu Pr</t>
  </si>
  <si>
    <t>Devotees of Bilaspur</t>
  </si>
  <si>
    <t>Devotees of Varanasi/Driver Payment receivd</t>
  </si>
  <si>
    <t>4:50am</t>
  </si>
  <si>
    <t>5:40am</t>
  </si>
  <si>
    <t>ch 52 &amp; 53</t>
  </si>
  <si>
    <t>03.01.2026</t>
  </si>
  <si>
    <t>Market Yard ch 52 &amp; 53-/ Abhay Manohar &amp; Sanak Sanatan Pr/Nagpur /Books sent by shah transport to khanapur Karnataka/ Gita contest/Order by SGP</t>
  </si>
  <si>
    <t>04.01.2026</t>
  </si>
  <si>
    <t>D T Festival</t>
  </si>
  <si>
    <t>Market yard-</t>
  </si>
  <si>
    <t>6:32am</t>
  </si>
  <si>
    <t>8:23am</t>
  </si>
  <si>
    <t>VRL PISOLI</t>
  </si>
  <si>
    <t>Tilekar Nagar/Ch no 105- Ind2333676 - Sahasra Tirth Das</t>
  </si>
  <si>
    <t>Golok Vrindavan-Krishna Roopa Mtj- Books Returen</t>
  </si>
  <si>
    <t>Market Yard Post Office</t>
  </si>
  <si>
    <t>VRL PISOLI/Ch No 127/131 Madan Sundar Pr/Abhay Manohar Pr</t>
  </si>
  <si>
    <t>3:30p</t>
  </si>
  <si>
    <t>Pune Station-Jammu-Kasmir Train-ch no-51 &amp; 54 Yogeshwar Gopal Pr &amp; Param Gati Pr</t>
  </si>
  <si>
    <t>05.01.2026</t>
  </si>
  <si>
    <t>06.01.2026</t>
  </si>
  <si>
    <t>Sri Gaurabhakt Pr</t>
  </si>
  <si>
    <t>Pune station-Ch 139/144/145/146-Murali Mukunda Pr-Shyam Lila-Sri Madhav Kirti -Murari Krishna-Jhansi -Samastipur-Samastipur-Samastipur</t>
  </si>
  <si>
    <t>8:59pm</t>
  </si>
  <si>
    <t>Nigdi-Rahatni ch 119 &amp; 149-Ananta Daya-</t>
  </si>
  <si>
    <t>07.01.2026</t>
  </si>
  <si>
    <t>Sent to Govinda Snaks. - VKP - 7507509070/ Ch No-155,156,157,158,159,160,161</t>
  </si>
  <si>
    <t xml:space="preserve"> Sent via VRL Ch 154 // To Pay, Godown Delivery //  Sent to Bailhongal // Ordered by Lavkush Pr via Whatsapp</t>
  </si>
  <si>
    <t>VRL-PISOLI-Ch 179/191/192/193-Vraj Nandan Krishna/Yogeshwar Gopa/Vipul Gupta/ Maniraj Neemai Pr/Beed/Nadia WB/-Kinada AP Pradesh/-Kinada AP Pradesh</t>
  </si>
  <si>
    <t>08.01.2026</t>
  </si>
  <si>
    <t>Jan</t>
  </si>
  <si>
    <t>Damodar Mntance</t>
  </si>
  <si>
    <t>09.01.2026</t>
  </si>
  <si>
    <t>3:05p</t>
  </si>
  <si>
    <t>10.01.2026</t>
  </si>
  <si>
    <t>Pune Station</t>
  </si>
  <si>
    <t>10:10pm</t>
  </si>
  <si>
    <t>VRL Pisoli-Ch no 248-Jivadaya Online Bd-Sent to mudhol</t>
  </si>
  <si>
    <t>Hinjawadi/ Madan Sundar Pr- CH NO 221</t>
  </si>
  <si>
    <t>12.01.2026</t>
  </si>
  <si>
    <t>vrl-Pisoli Ch 326-Param Gati-/Station-ch-317-Vamsi/ Mohan Pr( Neel Sunder Pr) Samstipur Bihar/ Ch 318- Mohan Pr( Neel Sunder Pr) Samstipur Bihar</t>
  </si>
  <si>
    <t>Anant Varad Pr</t>
  </si>
  <si>
    <t>Shivaji Nagar/One Day Bus Party</t>
  </si>
  <si>
    <t>Katraj/Tata Service Centre</t>
  </si>
  <si>
    <t>ABC  Chowk -Vikas Book Stall- Ch 337-Vraj Nandan Krishna Pr</t>
  </si>
  <si>
    <t xml:space="preserve">VRL Pisoli-Ch no 349-One Day Tskp-Amit Tanta/ GHAZIABAD UP </t>
  </si>
  <si>
    <t>Jivadaya/One Day Tskp</t>
  </si>
  <si>
    <t>Swargate /Ch No 380 Tula RVC/Madan Sundar Pr ch 370</t>
  </si>
  <si>
    <t>13.01.2026</t>
  </si>
  <si>
    <t>14.01.2026</t>
  </si>
  <si>
    <t>15.01.2026</t>
  </si>
  <si>
    <t>6:15PM</t>
  </si>
  <si>
    <t>Katraj -Swargate-Ch no 331-Abhay Manohar-ATUL  Transport-Ktarj-to Nagpur</t>
  </si>
  <si>
    <t>4:43pm</t>
  </si>
  <si>
    <t>10:17pm</t>
  </si>
  <si>
    <t>Sadhunang Chaitanya Pr</t>
  </si>
  <si>
    <t>2:50PM</t>
  </si>
  <si>
    <t>16.01.2026</t>
  </si>
  <si>
    <t>Market Yard/VRL</t>
  </si>
  <si>
    <t>5:30OM</t>
  </si>
  <si>
    <t>7:00PM</t>
  </si>
  <si>
    <t>17.01.2026</t>
  </si>
  <si>
    <t>VRL-PISOLI/39 Boxes Bring From VRL -pisoli/Sanak Sanatan Pr &amp; Sri Gaurbhakt Pr</t>
  </si>
  <si>
    <t>Golok Vrindavan-ch no 427-Navadvipa Chandra / Barsana Dham Ch no 430 Rvc Tula Stall</t>
  </si>
  <si>
    <t>11:22pm</t>
  </si>
  <si>
    <t>19.01.2026</t>
  </si>
  <si>
    <t>21.01.2026</t>
  </si>
  <si>
    <t>22.01.2026</t>
  </si>
  <si>
    <t>Gaura Bhakta Pr</t>
  </si>
  <si>
    <t>12:40PM</t>
  </si>
  <si>
    <t>6:04pm</t>
  </si>
  <si>
    <t>23.01.2026</t>
  </si>
  <si>
    <t>12:05pm</t>
  </si>
  <si>
    <t>11:33pm</t>
  </si>
  <si>
    <t>VRL Pisoli/Ch No 521 Vraja Sampat Pr Sent to Hirok Dutta Main road Doboka town  Opposite Doboka h.s school.dist- Hojai Assam</t>
  </si>
  <si>
    <t>02:13pm</t>
  </si>
  <si>
    <t>VRL Pisoli Ch 546-Jivadaya Online Bd/BOOKS SENT TO HONNAVAR ON REQUEST OF MURARI GOPRAJ PRABHU BY VRL</t>
  </si>
  <si>
    <t>VRL Pisoli-Ch 457-One Day Tskp 6 boxes sent by VRL to udapi</t>
  </si>
  <si>
    <t>Katraj Harinam</t>
  </si>
  <si>
    <t>Ram kanaiya Pr</t>
  </si>
  <si>
    <t>24.01.2026</t>
  </si>
  <si>
    <t>Marke Yard</t>
  </si>
  <si>
    <t>House Kiping</t>
  </si>
  <si>
    <t>Railway Stion</t>
  </si>
  <si>
    <t>6:24pm</t>
  </si>
  <si>
    <t>Pisoli Petrol Pump</t>
  </si>
  <si>
    <t>25.01.2026</t>
  </si>
  <si>
    <t>Gujarwadi</t>
  </si>
  <si>
    <t>27.01.2026</t>
  </si>
  <si>
    <t>Khadi Machin</t>
  </si>
  <si>
    <t>7:5pm</t>
  </si>
  <si>
    <t>28.01.2026</t>
  </si>
  <si>
    <t>10:30AM</t>
  </si>
  <si>
    <t>4:55pm</t>
  </si>
  <si>
    <t>Mumbai/Wada</t>
  </si>
  <si>
    <t>29.01.2026</t>
  </si>
  <si>
    <t>Ramakanaia Pr</t>
  </si>
  <si>
    <t>PDC Harinam Sankitan</t>
  </si>
  <si>
    <t>Mukund Pal Pr</t>
  </si>
  <si>
    <t>5:55PM</t>
  </si>
  <si>
    <t>30.01.2026</t>
  </si>
  <si>
    <t>01.02.2026</t>
  </si>
  <si>
    <t>Bhavatarini Kakshmi Mtj</t>
  </si>
  <si>
    <t>Ch no 613  Bhavatarini Laxmi / Veer</t>
  </si>
  <si>
    <t>Santosh Pr</t>
  </si>
  <si>
    <t>Ch no 604  Bavdhan Voice/ Baner</t>
  </si>
  <si>
    <t>VRL PISOLI/CH 590 &amp; 591 Sri Narada Tskp/Davangiri/Vijayapura</t>
  </si>
  <si>
    <t>02.02.2026</t>
  </si>
  <si>
    <t>VRL Pisoli-Ch No 630 &amp; 631  Maniraj Neemai Pr/ Jogbani &amp; Khordha</t>
  </si>
  <si>
    <t>Nasik(Bus Party)</t>
  </si>
  <si>
    <t>Feb.</t>
  </si>
  <si>
    <t xml:space="preserve">7:00Am </t>
  </si>
  <si>
    <t>9:00AM</t>
  </si>
  <si>
    <t>12:25PM</t>
  </si>
  <si>
    <t>6:00PM</t>
  </si>
  <si>
    <t>7:30PM</t>
  </si>
  <si>
    <t>4:50PM</t>
  </si>
  <si>
    <t>VRL Pisoli ( Bakti Vedant  Books Trust ) Books Bring</t>
  </si>
  <si>
    <t>03.02.2026</t>
  </si>
  <si>
    <t>Bibwe Wadi</t>
  </si>
  <si>
    <t>04.02.2026</t>
  </si>
  <si>
    <t>GGD  Voice</t>
  </si>
  <si>
    <t>Rasasrya Pr One Bus party</t>
  </si>
  <si>
    <t>08.02.2026</t>
  </si>
  <si>
    <t>Amt Tantia Pr/RVC</t>
  </si>
  <si>
    <t>Ch no 686  One Day Tskp/Punavale</t>
  </si>
  <si>
    <t>06.02.2026</t>
  </si>
  <si>
    <t>Shubha krishna Pr</t>
  </si>
  <si>
    <t>09.02.2026</t>
  </si>
  <si>
    <t>Durgesh</t>
  </si>
  <si>
    <t>10:10am</t>
  </si>
  <si>
    <t>Swargate /Ch No 701 &amp; 710 Sri Narada Tskp ( Madhukiran Pr ) KrishnaIka Transport- Nasik</t>
  </si>
  <si>
    <t>Bibwe Wadi/Vibhushan Priya Pr</t>
  </si>
  <si>
    <t>Baner( AMT-1300 Received)</t>
  </si>
  <si>
    <t>10.02.2026</t>
  </si>
  <si>
    <t xml:space="preserve">VRL Pisoli-Ch No  720 /Jivadaya Online Bd/Bhagpat </t>
  </si>
  <si>
    <t>11.02.2026</t>
  </si>
  <si>
    <t>12.02.2026</t>
  </si>
  <si>
    <t>JODO</t>
  </si>
  <si>
    <t>1::00pm</t>
  </si>
  <si>
    <t>Pandhar Pur</t>
  </si>
  <si>
    <t>Kadimachine</t>
  </si>
  <si>
    <t>13.02.2026</t>
  </si>
  <si>
    <t>14.02.2026</t>
  </si>
  <si>
    <t>Vamsimohan Pr</t>
  </si>
  <si>
    <t>Pashan/ Ch 767 Vamsi Mohan Pr</t>
  </si>
  <si>
    <t>4:40pm</t>
  </si>
  <si>
    <t>10:54pm</t>
  </si>
  <si>
    <t>15.02.2026</t>
  </si>
  <si>
    <t>Dehu-Ch 771 Amit Tantia</t>
  </si>
  <si>
    <t>6:40AM</t>
  </si>
  <si>
    <t>Ch No 762-Bhatarini Lakshmi Mtj Shirur</t>
  </si>
  <si>
    <t>6:30am</t>
  </si>
  <si>
    <t>Amit Tanti Pr</t>
  </si>
  <si>
    <t>Dhaaraj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</si>
</sst>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/mmm/yyyy;@"/>
    <numFmt numFmtId="165" formatCode="[$-409]d\-mmm\-yy;@"/>
    <numFmt numFmtId="166" formatCode="[$-409]h:mm\ AM/PM;@"/>
    <numFmt numFmtId="167" formatCode="[$-14009]dd\-mm\-yy;@"/>
    <numFmt numFmtId="168" formatCode="[$Rs.-4009]\ #,##0.00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/>
    <xf numFmtId="168" fontId="1" fillId="2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7" fontId="1" fillId="2" borderId="1" xfId="0" applyNumberFormat="1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0" xfId="0" applyFill="1"/>
    <xf numFmtId="0" fontId="0" fillId="4" borderId="1" xfId="0" applyFill="1" applyBorder="1"/>
    <xf numFmtId="0" fontId="0" fillId="3" borderId="1" xfId="0" applyFill="1" applyBorder="1"/>
    <xf numFmtId="0" fontId="0" fillId="4" borderId="2" xfId="0" applyFill="1" applyBorder="1"/>
    <xf numFmtId="0" fontId="0" fillId="4" borderId="0" xfId="0" applyFill="1"/>
    <xf numFmtId="49" fontId="1" fillId="4" borderId="2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" fillId="3" borderId="2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 wrapText="1"/>
    </xf>
    <xf numFmtId="0" fontId="0" fillId="4" borderId="3" xfId="0" applyFill="1" applyBorder="1"/>
    <xf numFmtId="0" fontId="0" fillId="3" borderId="4" xfId="0" applyFill="1" applyBorder="1"/>
    <xf numFmtId="49" fontId="1" fillId="3" borderId="1" xfId="0" applyNumberFormat="1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0" borderId="1" xfId="0" applyBorder="1"/>
    <xf numFmtId="168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0" borderId="1" xfId="0" applyFont="1" applyBorder="1"/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0" fontId="0" fillId="6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164" fontId="1" fillId="7" borderId="1" xfId="0" applyNumberFormat="1" applyFont="1" applyFill="1" applyBorder="1" applyAlignment="1">
      <alignment horizontal="center" vertical="center" wrapText="1"/>
    </xf>
    <xf numFmtId="165" fontId="1" fillId="7" borderId="1" xfId="0" applyNumberFormat="1" applyFont="1" applyFill="1" applyBorder="1" applyAlignment="1">
      <alignment horizontal="center" vertical="center" wrapText="1"/>
    </xf>
    <xf numFmtId="14" fontId="0" fillId="4" borderId="1" xfId="0" applyNumberFormat="1" applyFill="1" applyBorder="1"/>
    <xf numFmtId="0" fontId="2" fillId="8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5" fontId="1" fillId="6" borderId="1" xfId="0" applyNumberFormat="1" applyFont="1" applyFill="1" applyBorder="1" applyAlignment="1">
      <alignment horizontal="center" vertical="center" wrapText="1"/>
    </xf>
    <xf numFmtId="20" fontId="0" fillId="9" borderId="1" xfId="0" applyNumberFormat="1" applyFill="1" applyBorder="1"/>
    <xf numFmtId="0" fontId="0" fillId="9" borderId="1" xfId="0" applyFill="1" applyBorder="1" applyAlignment="1">
      <alignment horizontal="center" vertical="center"/>
    </xf>
    <xf numFmtId="0" fontId="3" fillId="9" borderId="1" xfId="0" applyFont="1" applyFill="1" applyBorder="1"/>
    <xf numFmtId="0" fontId="0" fillId="9" borderId="1" xfId="0" applyFill="1" applyBorder="1"/>
    <xf numFmtId="167" fontId="2" fillId="10" borderId="1" xfId="0" applyNumberFormat="1" applyFont="1" applyFill="1" applyBorder="1" applyAlignment="1">
      <alignment horizontal="center" vertical="center" wrapText="1"/>
    </xf>
    <xf numFmtId="166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4" fontId="1" fillId="10" borderId="1" xfId="0" applyNumberFormat="1" applyFont="1" applyFill="1" applyBorder="1" applyAlignment="1">
      <alignment horizontal="center" vertical="center" wrapText="1"/>
    </xf>
    <xf numFmtId="165" fontId="1" fillId="10" borderId="1" xfId="0" applyNumberFormat="1" applyFont="1" applyFill="1" applyBorder="1" applyAlignment="1">
      <alignment horizontal="center" vertical="center" wrapText="1"/>
    </xf>
    <xf numFmtId="165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68" fontId="2" fillId="11" borderId="1" xfId="0" applyNumberFormat="1" applyFont="1" applyFill="1" applyBorder="1" applyAlignment="1">
      <alignment horizontal="center" vertical="center" wrapText="1"/>
    </xf>
    <xf numFmtId="168" fontId="1" fillId="11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49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0" fillId="6" borderId="1" xfId="0" applyFill="1" applyBorder="1" applyAlignment="1">
      <alignment horizontal="center" vertical="center"/>
    </xf>
    <xf numFmtId="14" fontId="0" fillId="6" borderId="1" xfId="0" applyNumberFormat="1" applyFill="1" applyBorder="1"/>
    <xf numFmtId="164" fontId="1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68" fontId="2" fillId="6" borderId="1" xfId="0" applyNumberFormat="1" applyFont="1" applyFill="1" applyBorder="1" applyAlignment="1">
      <alignment horizontal="center" vertical="center" wrapText="1"/>
    </xf>
    <xf numFmtId="168" fontId="1" fillId="6" borderId="1" xfId="0" applyNumberFormat="1" applyFont="1" applyFill="1" applyBorder="1" applyAlignment="1">
      <alignment horizontal="center" vertical="center" wrapText="1"/>
    </xf>
    <xf numFmtId="167" fontId="2" fillId="6" borderId="1" xfId="0" applyNumberFormat="1" applyFont="1" applyFill="1" applyBorder="1" applyAlignment="1">
      <alignment horizontal="center" vertical="center" wrapText="1"/>
    </xf>
    <xf numFmtId="166" fontId="2" fillId="6" borderId="1" xfId="0" applyNumberFormat="1" applyFont="1" applyFill="1" applyBorder="1" applyAlignment="1">
      <alignment horizontal="center" vertical="center" wrapText="1"/>
    </xf>
    <xf numFmtId="4" fontId="2" fillId="6" borderId="1" xfId="0" applyNumberFormat="1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16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20" fontId="0" fillId="0" borderId="1" xfId="0" applyNumberFormat="1" applyBorder="1"/>
    <xf numFmtId="14" fontId="0" fillId="0" borderId="1" xfId="0" applyNumberFormat="1" applyBorder="1" applyAlignment="1">
      <alignment vertical="top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 vertical="center" wrapText="1"/>
    </xf>
    <xf numFmtId="165" fontId="1" fillId="5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 wrapText="1"/>
    </xf>
    <xf numFmtId="168" fontId="2" fillId="2" borderId="1" xfId="0" applyNumberFormat="1" applyFont="1" applyFill="1" applyBorder="1" applyAlignment="1">
      <alignment horizontal="center" vertical="center" wrapText="1"/>
    </xf>
    <xf numFmtId="167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0" xfId="0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4" borderId="6" xfId="0" applyFill="1" applyBorder="1"/>
    <xf numFmtId="20" fontId="0" fillId="2" borderId="1" xfId="0" applyNumberFormat="1" applyFill="1" applyBorder="1"/>
    <xf numFmtId="0" fontId="0" fillId="2" borderId="7" xfId="0" applyFill="1" applyBorder="1"/>
    <xf numFmtId="0" fontId="0" fillId="0" borderId="7" xfId="0" applyBorder="1"/>
    <xf numFmtId="0" fontId="0" fillId="4" borderId="7" xfId="0" applyFill="1" applyBorder="1"/>
    <xf numFmtId="0" fontId="0" fillId="0" borderId="7" xfId="0" applyBorder="1" applyAlignment="1">
      <alignment horizontal="center" vertical="center"/>
    </xf>
    <xf numFmtId="0" fontId="3" fillId="0" borderId="7" xfId="0" applyFont="1" applyBorder="1"/>
    <xf numFmtId="0" fontId="3" fillId="5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 vertical="center" wrapText="1"/>
    </xf>
    <xf numFmtId="14" fontId="0" fillId="6" borderId="7" xfId="0" applyNumberFormat="1" applyFill="1" applyBorder="1"/>
    <xf numFmtId="164" fontId="1" fillId="6" borderId="7" xfId="0" applyNumberFormat="1" applyFont="1" applyFill="1" applyBorder="1" applyAlignment="1">
      <alignment horizontal="center" vertical="center" wrapText="1"/>
    </xf>
    <xf numFmtId="165" fontId="1" fillId="6" borderId="7" xfId="0" applyNumberFormat="1" applyFont="1" applyFill="1" applyBorder="1" applyAlignment="1">
      <alignment horizontal="center" vertical="center" wrapText="1"/>
    </xf>
    <xf numFmtId="0" fontId="0" fillId="6" borderId="7" xfId="0" applyFill="1" applyBorder="1"/>
    <xf numFmtId="168" fontId="2" fillId="6" borderId="7" xfId="0" applyNumberFormat="1" applyFont="1" applyFill="1" applyBorder="1" applyAlignment="1">
      <alignment horizontal="center" vertical="center" wrapText="1"/>
    </xf>
    <xf numFmtId="168" fontId="1" fillId="6" borderId="7" xfId="0" applyNumberFormat="1" applyFont="1" applyFill="1" applyBorder="1" applyAlignment="1">
      <alignment horizontal="center" vertical="center" wrapText="1"/>
    </xf>
    <xf numFmtId="167" fontId="2" fillId="6" borderId="7" xfId="0" applyNumberFormat="1" applyFont="1" applyFill="1" applyBorder="1" applyAlignment="1">
      <alignment horizontal="center" vertical="center" wrapText="1"/>
    </xf>
    <xf numFmtId="166" fontId="2" fillId="6" borderId="7" xfId="0" applyNumberFormat="1" applyFont="1" applyFill="1" applyBorder="1" applyAlignment="1">
      <alignment horizontal="center" vertical="center" wrapText="1"/>
    </xf>
    <xf numFmtId="4" fontId="2" fillId="6" borderId="7" xfId="0" applyNumberFormat="1" applyFont="1" applyFill="1" applyBorder="1" applyAlignment="1">
      <alignment horizontal="center" vertical="center" wrapText="1"/>
    </xf>
    <xf numFmtId="4" fontId="1" fillId="6" borderId="7" xfId="0" applyNumberFormat="1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5" borderId="6" xfId="0" applyFill="1" applyBorder="1"/>
    <xf numFmtId="14" fontId="0" fillId="4" borderId="7" xfId="0" applyNumberFormat="1" applyFill="1" applyBorder="1"/>
    <xf numFmtId="0" fontId="2" fillId="4" borderId="7" xfId="0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49" fontId="0" fillId="4" borderId="1" xfId="0" applyNumberFormat="1" applyFill="1" applyBorder="1"/>
    <xf numFmtId="49" fontId="0" fillId="2" borderId="1" xfId="0" applyNumberFormat="1" applyFill="1" applyBorder="1"/>
    <xf numFmtId="49" fontId="0" fillId="5" borderId="1" xfId="0" applyNumberFormat="1" applyFill="1" applyBorder="1"/>
    <xf numFmtId="49" fontId="0" fillId="4" borderId="7" xfId="0" applyNumberFormat="1" applyFill="1" applyBorder="1"/>
    <xf numFmtId="49" fontId="0" fillId="0" borderId="0" xfId="0" applyNumberFormat="1"/>
    <xf numFmtId="165" fontId="1" fillId="0" borderId="7" xfId="0" applyNumberFormat="1" applyFont="1" applyBorder="1" applyAlignment="1">
      <alignment horizontal="center" vertical="center" wrapText="1"/>
    </xf>
    <xf numFmtId="0" fontId="0" fillId="0" borderId="8" xfId="0" applyBorder="1"/>
    <xf numFmtId="49" fontId="0" fillId="5" borderId="7" xfId="0" applyNumberFormat="1" applyFill="1" applyBorder="1"/>
    <xf numFmtId="0" fontId="0" fillId="5" borderId="7" xfId="0" applyFill="1" applyBorder="1"/>
    <xf numFmtId="0" fontId="0" fillId="5" borderId="2" xfId="0" applyFill="1" applyBorder="1"/>
    <xf numFmtId="0" fontId="0" fillId="12" borderId="1" xfId="0" applyFill="1" applyBorder="1"/>
    <xf numFmtId="0" fontId="0" fillId="12" borderId="0" xfId="0" applyFill="1"/>
    <xf numFmtId="49" fontId="0" fillId="12" borderId="1" xfId="0" applyNumberFormat="1" applyFill="1" applyBorder="1"/>
    <xf numFmtId="20" fontId="0" fillId="12" borderId="1" xfId="0" applyNumberFormat="1" applyFill="1" applyBorder="1"/>
    <xf numFmtId="0" fontId="0" fillId="12" borderId="6" xfId="0" applyFill="1" applyBorder="1"/>
    <xf numFmtId="14" fontId="0" fillId="12" borderId="1" xfId="0" applyNumberFormat="1" applyFill="1" applyBorder="1"/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49" fontId="0" fillId="0" borderId="1" xfId="0" applyNumberFormat="1" applyBorder="1"/>
    <xf numFmtId="14" fontId="0" fillId="5" borderId="1" xfId="0" applyNumberFormat="1" applyFill="1" applyBorder="1"/>
    <xf numFmtId="20" fontId="0" fillId="5" borderId="1" xfId="0" applyNumberFormat="1" applyFill="1" applyBorder="1"/>
    <xf numFmtId="165" fontId="2" fillId="6" borderId="1" xfId="0" applyNumberFormat="1" applyFont="1" applyFill="1" applyBorder="1" applyAlignment="1">
      <alignment horizontal="center" vertical="center" wrapText="1"/>
    </xf>
    <xf numFmtId="165" fontId="2" fillId="6" borderId="7" xfId="0" applyNumberFormat="1" applyFont="1" applyFill="1" applyBorder="1" applyAlignment="1">
      <alignment horizontal="center" vertical="center" wrapText="1"/>
    </xf>
    <xf numFmtId="49" fontId="0" fillId="6" borderId="1" xfId="0" applyNumberFormat="1" applyFill="1" applyBorder="1"/>
    <xf numFmtId="0" fontId="3" fillId="6" borderId="1" xfId="0" applyFont="1" applyFill="1" applyBorder="1" applyAlignment="1">
      <alignment horizontal="center"/>
    </xf>
    <xf numFmtId="0" fontId="0" fillId="2" borderId="2" xfId="0" applyFill="1" applyBorder="1"/>
    <xf numFmtId="0" fontId="5" fillId="0" borderId="9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right" vertical="center" wrapText="1"/>
    </xf>
    <xf numFmtId="14" fontId="0" fillId="0" borderId="0" xfId="0" applyNumberFormat="1"/>
    <xf numFmtId="46" fontId="0" fillId="0" borderId="1" xfId="0" applyNumberFormat="1" applyBorder="1"/>
    <xf numFmtId="0" fontId="0" fillId="9" borderId="2" xfId="0" applyFill="1" applyBorder="1"/>
    <xf numFmtId="18" fontId="0" fillId="0" borderId="1" xfId="0" applyNumberFormat="1" applyBorder="1"/>
    <xf numFmtId="0" fontId="0" fillId="5" borderId="1" xfId="0" applyFill="1" applyBorder="1" applyAlignment="1">
      <alignment horizontal="center"/>
    </xf>
    <xf numFmtId="4" fontId="2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13" borderId="0" xfId="0" applyFill="1"/>
    <xf numFmtId="49" fontId="0" fillId="13" borderId="1" xfId="0" applyNumberFormat="1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"/>
  <sheetViews>
    <sheetView topLeftCell="L10" workbookViewId="0">
      <selection activeCell="R17" sqref="R17"/>
    </sheetView>
  </sheetViews>
  <sheetFormatPr defaultRowHeight="15" x14ac:dyDescent="0.25"/>
  <cols>
    <col min="2" max="2" width="12.140625" bestFit="1" customWidth="1"/>
    <col min="3" max="3" width="17.42578125" bestFit="1" customWidth="1"/>
    <col min="5" max="5" width="17.42578125" bestFit="1" customWidth="1"/>
    <col min="6" max="6" width="13.7109375" bestFit="1" customWidth="1"/>
    <col min="12" max="12" width="13.42578125" bestFit="1" customWidth="1"/>
    <col min="14" max="14" width="11.85546875" customWidth="1"/>
    <col min="18" max="18" width="13.5703125" bestFit="1" customWidth="1"/>
  </cols>
  <sheetData>
    <row r="1" spans="1:20" ht="78.75" x14ac:dyDescent="0.25">
      <c r="A1" s="3" t="s">
        <v>17</v>
      </c>
      <c r="B1" s="7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6" t="s">
        <v>8</v>
      </c>
      <c r="K1" s="3" t="s">
        <v>9</v>
      </c>
      <c r="L1" s="5" t="s">
        <v>10</v>
      </c>
      <c r="M1" s="1" t="s">
        <v>71</v>
      </c>
      <c r="N1" s="8" t="s">
        <v>11</v>
      </c>
      <c r="O1" s="4" t="s">
        <v>12</v>
      </c>
      <c r="P1" s="4" t="s">
        <v>13</v>
      </c>
      <c r="Q1" s="4" t="s">
        <v>14</v>
      </c>
      <c r="R1" s="3" t="s">
        <v>15</v>
      </c>
      <c r="S1" s="3" t="s">
        <v>16</v>
      </c>
    </row>
    <row r="2" spans="1:20" ht="15.75" x14ac:dyDescent="0.25">
      <c r="A2" s="40" t="s">
        <v>209</v>
      </c>
      <c r="B2" s="17" t="s">
        <v>85</v>
      </c>
      <c r="C2" s="17" t="s">
        <v>29</v>
      </c>
      <c r="D2" s="17"/>
      <c r="E2" s="17" t="s">
        <v>29</v>
      </c>
      <c r="F2" s="12"/>
      <c r="G2" s="17">
        <v>75551</v>
      </c>
      <c r="H2" s="17">
        <v>75556</v>
      </c>
      <c r="I2" s="11">
        <f t="shared" ref="I2:I11" si="0">H2-G2</f>
        <v>5</v>
      </c>
      <c r="J2" s="17" t="s">
        <v>69</v>
      </c>
      <c r="K2" s="17" t="s">
        <v>37</v>
      </c>
      <c r="L2" s="17" t="s">
        <v>87</v>
      </c>
      <c r="M2" s="24">
        <v>18</v>
      </c>
      <c r="N2" s="17"/>
      <c r="O2" s="17"/>
      <c r="P2" s="17"/>
      <c r="Q2" s="13">
        <f t="shared" ref="Q2:Q11" si="1">I2*M2</f>
        <v>90</v>
      </c>
      <c r="R2" s="17"/>
      <c r="S2" s="17"/>
      <c r="T2" s="20">
        <f>G3-H2</f>
        <v>0</v>
      </c>
    </row>
    <row r="3" spans="1:20" ht="15.75" x14ac:dyDescent="0.25">
      <c r="A3" s="17"/>
      <c r="B3" s="17" t="s">
        <v>86</v>
      </c>
      <c r="C3" s="17" t="s">
        <v>58</v>
      </c>
      <c r="D3" s="17"/>
      <c r="E3" s="17" t="s">
        <v>58</v>
      </c>
      <c r="F3" s="17" t="s">
        <v>40</v>
      </c>
      <c r="G3" s="17">
        <v>75556</v>
      </c>
      <c r="H3" s="17">
        <v>75563</v>
      </c>
      <c r="I3" s="11">
        <f t="shared" si="0"/>
        <v>7</v>
      </c>
      <c r="J3" s="17" t="s">
        <v>24</v>
      </c>
      <c r="K3" s="17" t="s">
        <v>53</v>
      </c>
      <c r="L3" s="17" t="s">
        <v>88</v>
      </c>
      <c r="M3" s="24">
        <v>18</v>
      </c>
      <c r="N3" s="17"/>
      <c r="O3" s="17"/>
      <c r="P3" s="17"/>
      <c r="Q3" s="13">
        <f t="shared" si="1"/>
        <v>126</v>
      </c>
      <c r="R3" s="17"/>
      <c r="S3" s="17"/>
      <c r="T3" s="20"/>
    </row>
    <row r="4" spans="1:20" ht="15.75" x14ac:dyDescent="0.25">
      <c r="A4" s="17"/>
      <c r="B4" s="17" t="s">
        <v>89</v>
      </c>
      <c r="C4" s="17" t="s">
        <v>58</v>
      </c>
      <c r="D4" s="17"/>
      <c r="E4" s="17" t="s">
        <v>58</v>
      </c>
      <c r="F4" s="17" t="s">
        <v>25</v>
      </c>
      <c r="G4" s="17">
        <v>75563</v>
      </c>
      <c r="H4" s="17">
        <v>75567</v>
      </c>
      <c r="I4" s="11">
        <f t="shared" si="0"/>
        <v>4</v>
      </c>
      <c r="J4" s="17" t="s">
        <v>26</v>
      </c>
      <c r="K4" s="17" t="s">
        <v>76</v>
      </c>
      <c r="L4" s="17" t="s">
        <v>83</v>
      </c>
      <c r="M4" s="24">
        <v>18</v>
      </c>
      <c r="N4" s="17"/>
      <c r="O4" s="17"/>
      <c r="P4" s="17"/>
      <c r="Q4" s="13">
        <f t="shared" si="1"/>
        <v>72</v>
      </c>
      <c r="R4" s="17"/>
      <c r="S4" s="17"/>
      <c r="T4" s="20"/>
    </row>
    <row r="5" spans="1:20" ht="15.75" x14ac:dyDescent="0.25">
      <c r="A5" s="17"/>
      <c r="B5" s="17" t="s">
        <v>89</v>
      </c>
      <c r="C5" s="17" t="s">
        <v>58</v>
      </c>
      <c r="D5" s="17"/>
      <c r="E5" s="17" t="s">
        <v>58</v>
      </c>
      <c r="F5" s="17" t="s">
        <v>23</v>
      </c>
      <c r="G5" s="17">
        <v>75567</v>
      </c>
      <c r="H5" s="17">
        <v>75579</v>
      </c>
      <c r="I5" s="11">
        <f t="shared" si="0"/>
        <v>12</v>
      </c>
      <c r="J5" s="17" t="s">
        <v>65</v>
      </c>
      <c r="K5" s="17"/>
      <c r="L5" s="17" t="s">
        <v>90</v>
      </c>
      <c r="M5" s="24">
        <v>18</v>
      </c>
      <c r="N5" s="17"/>
      <c r="O5" s="17"/>
      <c r="P5" s="17"/>
      <c r="Q5" s="13">
        <f t="shared" si="1"/>
        <v>216</v>
      </c>
      <c r="R5" s="17"/>
      <c r="S5" s="17"/>
      <c r="T5" s="20"/>
    </row>
    <row r="6" spans="1:20" ht="15.75" x14ac:dyDescent="0.25">
      <c r="A6" s="17"/>
      <c r="B6" s="17" t="s">
        <v>92</v>
      </c>
      <c r="C6" s="17" t="s">
        <v>58</v>
      </c>
      <c r="D6" s="17"/>
      <c r="E6" s="17" t="s">
        <v>58</v>
      </c>
      <c r="F6" s="17" t="s">
        <v>91</v>
      </c>
      <c r="G6" s="17">
        <v>75579</v>
      </c>
      <c r="H6" s="17">
        <v>75673</v>
      </c>
      <c r="I6" s="11">
        <f t="shared" si="0"/>
        <v>94</v>
      </c>
      <c r="J6" s="17" t="s">
        <v>36</v>
      </c>
      <c r="K6" s="17" t="s">
        <v>31</v>
      </c>
      <c r="L6" s="17" t="s">
        <v>90</v>
      </c>
      <c r="M6" s="24">
        <v>18</v>
      </c>
      <c r="N6" s="17"/>
      <c r="O6" s="17"/>
      <c r="P6" s="17"/>
      <c r="Q6" s="13">
        <f t="shared" si="1"/>
        <v>1692</v>
      </c>
      <c r="R6" s="17"/>
      <c r="S6" s="17"/>
      <c r="T6" s="20"/>
    </row>
    <row r="7" spans="1:20" ht="15.75" x14ac:dyDescent="0.25">
      <c r="A7" s="17"/>
      <c r="B7" s="17" t="s">
        <v>93</v>
      </c>
      <c r="C7" s="17" t="s">
        <v>58</v>
      </c>
      <c r="D7" s="17"/>
      <c r="E7" s="17" t="s">
        <v>58</v>
      </c>
      <c r="F7" s="17" t="s">
        <v>40</v>
      </c>
      <c r="G7" s="17">
        <v>75673</v>
      </c>
      <c r="H7" s="17">
        <v>75680</v>
      </c>
      <c r="I7" s="11">
        <f t="shared" si="0"/>
        <v>7</v>
      </c>
      <c r="J7" s="17" t="s">
        <v>33</v>
      </c>
      <c r="K7" s="17" t="s">
        <v>72</v>
      </c>
      <c r="L7" s="17" t="s">
        <v>90</v>
      </c>
      <c r="M7" s="24">
        <v>18</v>
      </c>
      <c r="N7" s="17"/>
      <c r="O7" s="17"/>
      <c r="P7" s="17"/>
      <c r="Q7" s="13">
        <f t="shared" si="1"/>
        <v>126</v>
      </c>
      <c r="R7" s="17"/>
      <c r="S7" s="17"/>
      <c r="T7" s="20"/>
    </row>
    <row r="8" spans="1:20" ht="15.75" x14ac:dyDescent="0.25">
      <c r="A8" s="17"/>
      <c r="B8" s="17" t="s">
        <v>94</v>
      </c>
      <c r="C8" s="17" t="s">
        <v>58</v>
      </c>
      <c r="D8" s="17"/>
      <c r="E8" s="17" t="s">
        <v>58</v>
      </c>
      <c r="F8" s="17" t="s">
        <v>45</v>
      </c>
      <c r="G8" s="17">
        <v>75680</v>
      </c>
      <c r="H8" s="17">
        <v>75701</v>
      </c>
      <c r="I8" s="11">
        <f t="shared" si="0"/>
        <v>21</v>
      </c>
      <c r="J8" s="17" t="s">
        <v>48</v>
      </c>
      <c r="K8" s="17" t="s">
        <v>41</v>
      </c>
      <c r="L8" s="17" t="s">
        <v>39</v>
      </c>
      <c r="M8" s="24">
        <v>18</v>
      </c>
      <c r="N8" s="17"/>
      <c r="O8" s="17"/>
      <c r="P8" s="17"/>
      <c r="Q8" s="13">
        <f t="shared" si="1"/>
        <v>378</v>
      </c>
      <c r="R8" s="17"/>
      <c r="S8" s="17"/>
      <c r="T8" s="20"/>
    </row>
    <row r="9" spans="1:20" ht="15.75" x14ac:dyDescent="0.25">
      <c r="A9" s="17"/>
      <c r="B9" s="17" t="s">
        <v>95</v>
      </c>
      <c r="C9" s="17" t="s">
        <v>58</v>
      </c>
      <c r="D9" s="17"/>
      <c r="E9" s="17" t="s">
        <v>58</v>
      </c>
      <c r="F9" s="17" t="s">
        <v>97</v>
      </c>
      <c r="G9" s="17">
        <v>75709</v>
      </c>
      <c r="H9" s="17">
        <v>75730</v>
      </c>
      <c r="I9" s="11">
        <f t="shared" si="0"/>
        <v>21</v>
      </c>
      <c r="J9" s="17" t="s">
        <v>44</v>
      </c>
      <c r="K9" s="17" t="s">
        <v>96</v>
      </c>
      <c r="L9" s="17" t="s">
        <v>88</v>
      </c>
      <c r="M9" s="24">
        <v>18</v>
      </c>
      <c r="N9" s="17"/>
      <c r="O9" s="17"/>
      <c r="P9" s="17"/>
      <c r="Q9" s="13">
        <f t="shared" si="1"/>
        <v>378</v>
      </c>
      <c r="R9" s="17"/>
      <c r="S9" s="17"/>
      <c r="T9" s="20"/>
    </row>
    <row r="10" spans="1:20" ht="15.75" x14ac:dyDescent="0.25">
      <c r="A10" s="17"/>
      <c r="B10" s="17" t="s">
        <v>98</v>
      </c>
      <c r="C10" s="17" t="s">
        <v>58</v>
      </c>
      <c r="D10" s="17"/>
      <c r="E10" s="17" t="s">
        <v>58</v>
      </c>
      <c r="F10" s="17" t="s">
        <v>97</v>
      </c>
      <c r="G10" s="17">
        <v>75731</v>
      </c>
      <c r="H10" s="17">
        <v>75752</v>
      </c>
      <c r="I10" s="11">
        <f t="shared" si="0"/>
        <v>21</v>
      </c>
      <c r="J10" s="17" t="s">
        <v>73</v>
      </c>
      <c r="K10" s="17" t="s">
        <v>63</v>
      </c>
      <c r="L10" s="17" t="s">
        <v>88</v>
      </c>
      <c r="M10" s="24">
        <v>18</v>
      </c>
      <c r="N10" s="17"/>
      <c r="O10" s="17"/>
      <c r="P10" s="17"/>
      <c r="Q10" s="13">
        <f t="shared" si="1"/>
        <v>378</v>
      </c>
      <c r="R10" s="17"/>
      <c r="S10" s="17"/>
      <c r="T10" s="20"/>
    </row>
    <row r="11" spans="1:20" ht="15.75" x14ac:dyDescent="0.25">
      <c r="A11" s="17"/>
      <c r="B11" s="17" t="s">
        <v>99</v>
      </c>
      <c r="C11" s="17" t="s">
        <v>58</v>
      </c>
      <c r="D11" s="17"/>
      <c r="E11" s="17" t="s">
        <v>58</v>
      </c>
      <c r="F11" s="17" t="s">
        <v>30</v>
      </c>
      <c r="G11" s="17">
        <v>75753</v>
      </c>
      <c r="H11" s="17">
        <v>75760</v>
      </c>
      <c r="I11" s="11">
        <f t="shared" si="0"/>
        <v>7</v>
      </c>
      <c r="J11" s="17" t="s">
        <v>73</v>
      </c>
      <c r="K11" s="17" t="s">
        <v>48</v>
      </c>
      <c r="L11" s="17" t="s">
        <v>100</v>
      </c>
      <c r="M11" s="24">
        <v>18</v>
      </c>
      <c r="N11" s="17"/>
      <c r="O11" s="17"/>
      <c r="P11" s="17"/>
      <c r="Q11" s="13">
        <f t="shared" si="1"/>
        <v>126</v>
      </c>
      <c r="R11" s="17"/>
      <c r="S11" s="17"/>
      <c r="T11" s="20"/>
    </row>
    <row r="12" spans="1:20" s="68" customFormat="1" ht="42" customHeight="1" x14ac:dyDescent="0.25">
      <c r="A12" s="69" t="s">
        <v>208</v>
      </c>
      <c r="B12" s="40"/>
      <c r="C12" s="40"/>
      <c r="D12" s="40"/>
      <c r="E12" s="40"/>
      <c r="F12" s="40"/>
      <c r="G12" s="40"/>
      <c r="H12" s="40"/>
      <c r="I12" s="46"/>
      <c r="J12" s="40"/>
      <c r="K12" s="40"/>
      <c r="L12" s="40"/>
      <c r="M12" s="66"/>
      <c r="N12" s="40"/>
      <c r="O12" s="40"/>
      <c r="P12" s="40"/>
      <c r="Q12" s="67"/>
      <c r="R12" s="40"/>
      <c r="S12" s="40"/>
    </row>
    <row r="13" spans="1:20" ht="15.75" x14ac:dyDescent="0.25">
      <c r="A13" s="17"/>
      <c r="B13" s="17" t="s">
        <v>101</v>
      </c>
      <c r="C13" s="17" t="s">
        <v>58</v>
      </c>
      <c r="D13" s="17"/>
      <c r="E13" s="17" t="s">
        <v>58</v>
      </c>
      <c r="F13" s="25" t="s">
        <v>102</v>
      </c>
      <c r="G13" s="17">
        <v>75761</v>
      </c>
      <c r="H13" s="17">
        <v>75798</v>
      </c>
      <c r="I13" s="11">
        <f t="shared" ref="I13:I34" si="2">H13-G13</f>
        <v>37</v>
      </c>
      <c r="J13" s="17" t="s">
        <v>56</v>
      </c>
      <c r="K13" s="17" t="s">
        <v>103</v>
      </c>
      <c r="L13" s="17" t="s">
        <v>88</v>
      </c>
      <c r="M13" s="24">
        <v>18</v>
      </c>
      <c r="N13" s="17"/>
      <c r="O13" s="17"/>
      <c r="P13" s="17"/>
      <c r="Q13" s="13">
        <f t="shared" ref="Q13:Q34" si="3">I13*M13</f>
        <v>666</v>
      </c>
      <c r="R13" s="17"/>
      <c r="S13" s="17"/>
    </row>
    <row r="14" spans="1:20" ht="15.75" x14ac:dyDescent="0.25">
      <c r="A14" s="17"/>
      <c r="B14" s="17" t="s">
        <v>104</v>
      </c>
      <c r="C14" s="17" t="s">
        <v>58</v>
      </c>
      <c r="D14" s="17"/>
      <c r="E14" s="17" t="s">
        <v>58</v>
      </c>
      <c r="F14" s="17" t="s">
        <v>40</v>
      </c>
      <c r="G14" s="17">
        <v>75798</v>
      </c>
      <c r="H14" s="17">
        <v>75805</v>
      </c>
      <c r="I14" s="11">
        <f t="shared" si="2"/>
        <v>7</v>
      </c>
      <c r="J14" s="17" t="s">
        <v>56</v>
      </c>
      <c r="K14" s="17" t="s">
        <v>60</v>
      </c>
      <c r="L14" s="17" t="s">
        <v>105</v>
      </c>
      <c r="M14" s="24">
        <v>18</v>
      </c>
      <c r="N14" s="17"/>
      <c r="O14" s="17"/>
      <c r="P14" s="17"/>
      <c r="Q14" s="13">
        <f t="shared" si="3"/>
        <v>126</v>
      </c>
      <c r="R14" s="17"/>
      <c r="S14" s="17"/>
    </row>
    <row r="15" spans="1:20" s="96" customFormat="1" ht="15.75" x14ac:dyDescent="0.25">
      <c r="A15" s="93"/>
      <c r="B15" s="93" t="s">
        <v>104</v>
      </c>
      <c r="C15" s="93" t="s">
        <v>106</v>
      </c>
      <c r="D15" s="93"/>
      <c r="E15" s="93" t="s">
        <v>106</v>
      </c>
      <c r="F15" s="93" t="s">
        <v>52</v>
      </c>
      <c r="G15" s="93">
        <v>75805</v>
      </c>
      <c r="H15" s="93">
        <v>75857</v>
      </c>
      <c r="I15" s="3">
        <f t="shared" si="2"/>
        <v>52</v>
      </c>
      <c r="J15" s="93" t="s">
        <v>50</v>
      </c>
      <c r="K15" s="93" t="s">
        <v>78</v>
      </c>
      <c r="L15" s="93" t="s">
        <v>105</v>
      </c>
      <c r="M15" s="94">
        <v>18</v>
      </c>
      <c r="N15" s="93"/>
      <c r="O15" s="93"/>
      <c r="P15" s="93"/>
      <c r="Q15" s="95">
        <f t="shared" si="3"/>
        <v>936</v>
      </c>
      <c r="R15" s="93" t="s">
        <v>171</v>
      </c>
      <c r="S15" s="93"/>
    </row>
    <row r="16" spans="1:20" s="96" customFormat="1" ht="15.75" x14ac:dyDescent="0.25">
      <c r="B16" s="93" t="s">
        <v>107</v>
      </c>
      <c r="C16" s="96" t="s">
        <v>84</v>
      </c>
      <c r="E16" s="96" t="s">
        <v>84</v>
      </c>
      <c r="F16" s="96" t="s">
        <v>30</v>
      </c>
      <c r="G16" s="96">
        <v>75857</v>
      </c>
      <c r="H16" s="96">
        <v>75865</v>
      </c>
      <c r="I16" s="3">
        <f t="shared" si="2"/>
        <v>8</v>
      </c>
      <c r="J16" s="96" t="s">
        <v>62</v>
      </c>
      <c r="K16" s="96" t="s">
        <v>32</v>
      </c>
      <c r="L16" s="96" t="s">
        <v>108</v>
      </c>
      <c r="M16" s="114">
        <v>18</v>
      </c>
      <c r="Q16" s="95">
        <f t="shared" si="3"/>
        <v>144</v>
      </c>
      <c r="R16" s="93" t="s">
        <v>373</v>
      </c>
    </row>
    <row r="17" spans="1:18" ht="15.75" x14ac:dyDescent="0.25">
      <c r="B17" s="17" t="s">
        <v>109</v>
      </c>
      <c r="C17" s="17" t="s">
        <v>58</v>
      </c>
      <c r="E17" s="17" t="s">
        <v>58</v>
      </c>
      <c r="F17" t="s">
        <v>30</v>
      </c>
      <c r="G17">
        <v>75865</v>
      </c>
      <c r="H17">
        <v>75876</v>
      </c>
      <c r="I17" s="11">
        <f t="shared" si="2"/>
        <v>11</v>
      </c>
      <c r="J17" t="s">
        <v>113</v>
      </c>
      <c r="K17" t="s">
        <v>34</v>
      </c>
      <c r="L17" t="s">
        <v>82</v>
      </c>
      <c r="M17" s="2">
        <v>18</v>
      </c>
      <c r="Q17" s="13">
        <f t="shared" si="3"/>
        <v>198</v>
      </c>
    </row>
    <row r="18" spans="1:18" ht="15.75" x14ac:dyDescent="0.25">
      <c r="B18" s="17" t="s">
        <v>110</v>
      </c>
      <c r="C18" s="17" t="s">
        <v>58</v>
      </c>
      <c r="E18" s="17" t="s">
        <v>58</v>
      </c>
      <c r="F18" s="26" t="s">
        <v>40</v>
      </c>
      <c r="G18">
        <v>75876</v>
      </c>
      <c r="H18">
        <v>75883</v>
      </c>
      <c r="I18" s="11">
        <f t="shared" si="2"/>
        <v>7</v>
      </c>
      <c r="J18" t="s">
        <v>114</v>
      </c>
      <c r="K18" t="s">
        <v>115</v>
      </c>
      <c r="L18" t="s">
        <v>82</v>
      </c>
      <c r="M18" s="2">
        <v>18</v>
      </c>
      <c r="Q18" s="13">
        <f t="shared" si="3"/>
        <v>126</v>
      </c>
    </row>
    <row r="19" spans="1:18" ht="15.75" x14ac:dyDescent="0.25">
      <c r="B19" s="17" t="s">
        <v>111</v>
      </c>
      <c r="C19" s="17" t="s">
        <v>49</v>
      </c>
      <c r="E19" s="17" t="s">
        <v>49</v>
      </c>
      <c r="F19" t="s">
        <v>30</v>
      </c>
      <c r="G19">
        <v>75883</v>
      </c>
      <c r="H19">
        <v>75888</v>
      </c>
      <c r="I19" s="11">
        <f t="shared" si="2"/>
        <v>5</v>
      </c>
      <c r="J19" t="s">
        <v>35</v>
      </c>
      <c r="K19" t="s">
        <v>37</v>
      </c>
      <c r="L19" t="s">
        <v>28</v>
      </c>
      <c r="M19" s="2">
        <v>18</v>
      </c>
      <c r="Q19" s="13">
        <f t="shared" si="3"/>
        <v>90</v>
      </c>
    </row>
    <row r="20" spans="1:18" ht="15.75" x14ac:dyDescent="0.25">
      <c r="B20" s="17" t="s">
        <v>112</v>
      </c>
      <c r="C20" s="17" t="s">
        <v>58</v>
      </c>
      <c r="E20" s="17" t="s">
        <v>58</v>
      </c>
      <c r="F20" t="s">
        <v>30</v>
      </c>
      <c r="G20">
        <v>75888</v>
      </c>
      <c r="H20">
        <v>75896</v>
      </c>
      <c r="I20" s="14">
        <f t="shared" si="2"/>
        <v>8</v>
      </c>
      <c r="J20" t="s">
        <v>55</v>
      </c>
      <c r="K20" t="s">
        <v>64</v>
      </c>
      <c r="L20" t="s">
        <v>82</v>
      </c>
      <c r="M20" s="2">
        <v>18</v>
      </c>
      <c r="Q20" s="13">
        <f t="shared" si="3"/>
        <v>144</v>
      </c>
    </row>
    <row r="21" spans="1:18" ht="15.75" x14ac:dyDescent="0.25">
      <c r="B21" s="17" t="s">
        <v>112</v>
      </c>
      <c r="C21" s="17" t="s">
        <v>58</v>
      </c>
      <c r="E21" s="17" t="s">
        <v>58</v>
      </c>
      <c r="F21" s="26" t="s">
        <v>40</v>
      </c>
      <c r="G21">
        <v>75896</v>
      </c>
      <c r="H21">
        <v>75901</v>
      </c>
      <c r="I21" s="14">
        <f t="shared" si="2"/>
        <v>5</v>
      </c>
      <c r="J21" t="s">
        <v>74</v>
      </c>
      <c r="K21" t="s">
        <v>116</v>
      </c>
      <c r="L21" t="s">
        <v>82</v>
      </c>
      <c r="M21" s="2">
        <v>18</v>
      </c>
      <c r="Q21" s="13">
        <f t="shared" si="3"/>
        <v>90</v>
      </c>
    </row>
    <row r="22" spans="1:18" s="96" customFormat="1" ht="15.75" x14ac:dyDescent="0.25">
      <c r="B22" s="93" t="s">
        <v>117</v>
      </c>
      <c r="C22" s="96" t="s">
        <v>84</v>
      </c>
      <c r="E22" s="96" t="s">
        <v>84</v>
      </c>
      <c r="F22" s="96" t="s">
        <v>30</v>
      </c>
      <c r="G22" s="96">
        <v>75908</v>
      </c>
      <c r="H22" s="96">
        <v>75915</v>
      </c>
      <c r="I22" s="115">
        <f t="shared" si="2"/>
        <v>7</v>
      </c>
      <c r="J22" s="96" t="s">
        <v>53</v>
      </c>
      <c r="K22" s="96" t="s">
        <v>77</v>
      </c>
      <c r="L22" s="96" t="s">
        <v>118</v>
      </c>
      <c r="M22" s="114">
        <v>18</v>
      </c>
      <c r="Q22" s="95">
        <f t="shared" si="3"/>
        <v>126</v>
      </c>
      <c r="R22" s="93" t="s">
        <v>373</v>
      </c>
    </row>
    <row r="23" spans="1:18" ht="15.75" x14ac:dyDescent="0.25">
      <c r="A23" s="9"/>
      <c r="B23" s="18" t="s">
        <v>117</v>
      </c>
      <c r="C23" s="27" t="s">
        <v>119</v>
      </c>
      <c r="D23" s="9"/>
      <c r="E23" s="27" t="s">
        <v>119</v>
      </c>
      <c r="F23" s="9" t="s">
        <v>75</v>
      </c>
      <c r="G23" s="9">
        <v>75915</v>
      </c>
      <c r="H23" s="9">
        <v>75976</v>
      </c>
      <c r="I23" s="23">
        <f t="shared" si="2"/>
        <v>61</v>
      </c>
      <c r="J23" s="9" t="s">
        <v>120</v>
      </c>
      <c r="K23" s="9" t="s">
        <v>103</v>
      </c>
      <c r="L23" s="9" t="s">
        <v>82</v>
      </c>
      <c r="M23" s="10">
        <v>18</v>
      </c>
      <c r="N23" s="9"/>
      <c r="O23" s="9"/>
      <c r="P23" s="9"/>
      <c r="Q23" s="28">
        <f t="shared" si="3"/>
        <v>1098</v>
      </c>
      <c r="R23" t="s">
        <v>151</v>
      </c>
    </row>
    <row r="24" spans="1:18" ht="15.75" x14ac:dyDescent="0.25">
      <c r="B24" s="17" t="s">
        <v>121</v>
      </c>
      <c r="C24" s="17" t="s">
        <v>58</v>
      </c>
      <c r="E24" s="17" t="s">
        <v>58</v>
      </c>
      <c r="F24" s="26" t="s">
        <v>27</v>
      </c>
      <c r="G24">
        <v>75976</v>
      </c>
      <c r="H24">
        <v>75978</v>
      </c>
      <c r="I24" s="14">
        <f t="shared" si="2"/>
        <v>2</v>
      </c>
      <c r="J24" t="s">
        <v>38</v>
      </c>
      <c r="K24" t="s">
        <v>47</v>
      </c>
      <c r="L24" t="s">
        <v>82</v>
      </c>
      <c r="M24" s="22">
        <v>18</v>
      </c>
      <c r="Q24" s="13">
        <f t="shared" si="3"/>
        <v>36</v>
      </c>
    </row>
    <row r="25" spans="1:18" ht="15.75" x14ac:dyDescent="0.25">
      <c r="B25" s="17" t="s">
        <v>122</v>
      </c>
      <c r="C25" s="17" t="s">
        <v>58</v>
      </c>
      <c r="E25" s="17" t="s">
        <v>58</v>
      </c>
      <c r="F25" t="s">
        <v>79</v>
      </c>
      <c r="G25">
        <v>75978</v>
      </c>
      <c r="H25">
        <v>75984</v>
      </c>
      <c r="I25" s="14">
        <f t="shared" si="2"/>
        <v>6</v>
      </c>
      <c r="J25" t="s">
        <v>59</v>
      </c>
      <c r="K25" t="s">
        <v>20</v>
      </c>
      <c r="L25" t="s">
        <v>82</v>
      </c>
      <c r="M25" s="22">
        <v>18</v>
      </c>
      <c r="Q25" s="13">
        <f t="shared" si="3"/>
        <v>108</v>
      </c>
    </row>
    <row r="26" spans="1:18" ht="15.75" x14ac:dyDescent="0.25">
      <c r="B26" s="17" t="s">
        <v>123</v>
      </c>
      <c r="C26" s="17" t="s">
        <v>58</v>
      </c>
      <c r="E26" s="17" t="s">
        <v>58</v>
      </c>
      <c r="F26" t="s">
        <v>79</v>
      </c>
      <c r="G26">
        <v>75988</v>
      </c>
      <c r="H26">
        <v>75995</v>
      </c>
      <c r="I26" s="14">
        <f t="shared" si="2"/>
        <v>7</v>
      </c>
      <c r="J26" t="s">
        <v>125</v>
      </c>
      <c r="K26" t="s">
        <v>54</v>
      </c>
      <c r="L26" t="s">
        <v>82</v>
      </c>
      <c r="M26" s="22">
        <v>18</v>
      </c>
      <c r="Q26" s="13">
        <f t="shared" si="3"/>
        <v>126</v>
      </c>
    </row>
    <row r="27" spans="1:18" ht="15.75" x14ac:dyDescent="0.25">
      <c r="B27" s="17" t="s">
        <v>124</v>
      </c>
      <c r="C27" s="17" t="s">
        <v>58</v>
      </c>
      <c r="E27" s="17" t="s">
        <v>58</v>
      </c>
      <c r="F27" t="s">
        <v>30</v>
      </c>
      <c r="G27">
        <v>75995</v>
      </c>
      <c r="H27">
        <v>76007</v>
      </c>
      <c r="I27" s="14">
        <f t="shared" si="2"/>
        <v>12</v>
      </c>
      <c r="J27" t="s">
        <v>126</v>
      </c>
      <c r="L27" t="s">
        <v>82</v>
      </c>
      <c r="M27" s="22">
        <v>18</v>
      </c>
      <c r="Q27" s="13">
        <f t="shared" si="3"/>
        <v>216</v>
      </c>
    </row>
    <row r="28" spans="1:18" ht="15.75" x14ac:dyDescent="0.25">
      <c r="B28" s="17" t="s">
        <v>128</v>
      </c>
      <c r="C28" s="17" t="s">
        <v>58</v>
      </c>
      <c r="E28" s="17" t="s">
        <v>58</v>
      </c>
      <c r="F28" t="s">
        <v>30</v>
      </c>
      <c r="G28">
        <v>76007</v>
      </c>
      <c r="H28">
        <v>76013</v>
      </c>
      <c r="I28" s="14">
        <f t="shared" si="2"/>
        <v>6</v>
      </c>
      <c r="J28" t="s">
        <v>21</v>
      </c>
      <c r="K28" t="s">
        <v>127</v>
      </c>
      <c r="L28" t="s">
        <v>82</v>
      </c>
      <c r="M28" s="22">
        <v>18</v>
      </c>
      <c r="Q28" s="21">
        <f t="shared" si="3"/>
        <v>108</v>
      </c>
    </row>
    <row r="29" spans="1:18" ht="15.75" x14ac:dyDescent="0.25">
      <c r="B29" s="17" t="s">
        <v>128</v>
      </c>
      <c r="C29" s="17" t="s">
        <v>58</v>
      </c>
      <c r="E29" s="17" t="s">
        <v>58</v>
      </c>
      <c r="F29" t="s">
        <v>30</v>
      </c>
      <c r="G29">
        <v>76014</v>
      </c>
      <c r="H29">
        <v>76023</v>
      </c>
      <c r="I29" s="14">
        <f t="shared" si="2"/>
        <v>9</v>
      </c>
      <c r="J29" t="s">
        <v>80</v>
      </c>
      <c r="K29" t="s">
        <v>70</v>
      </c>
      <c r="L29" t="s">
        <v>82</v>
      </c>
      <c r="M29" s="22">
        <v>18</v>
      </c>
      <c r="Q29" s="21">
        <f t="shared" si="3"/>
        <v>162</v>
      </c>
    </row>
    <row r="30" spans="1:18" ht="15.75" x14ac:dyDescent="0.25">
      <c r="B30" s="17" t="s">
        <v>129</v>
      </c>
      <c r="C30" s="17" t="s">
        <v>58</v>
      </c>
      <c r="E30" s="17" t="s">
        <v>58</v>
      </c>
      <c r="F30" s="26" t="s">
        <v>134</v>
      </c>
      <c r="G30">
        <v>76026</v>
      </c>
      <c r="H30">
        <v>76093</v>
      </c>
      <c r="I30" s="14">
        <f t="shared" si="2"/>
        <v>67</v>
      </c>
      <c r="J30" t="s">
        <v>61</v>
      </c>
      <c r="L30" t="s">
        <v>130</v>
      </c>
      <c r="M30" s="22">
        <v>18</v>
      </c>
      <c r="Q30" s="21">
        <f t="shared" si="3"/>
        <v>1206</v>
      </c>
    </row>
    <row r="31" spans="1:18" ht="15.75" x14ac:dyDescent="0.25">
      <c r="B31" s="17" t="s">
        <v>131</v>
      </c>
      <c r="C31" s="17" t="s">
        <v>58</v>
      </c>
      <c r="E31" s="17" t="s">
        <v>58</v>
      </c>
      <c r="F31" s="26" t="s">
        <v>40</v>
      </c>
      <c r="G31">
        <v>76093</v>
      </c>
      <c r="H31">
        <v>76100</v>
      </c>
      <c r="I31" s="14">
        <f t="shared" si="2"/>
        <v>7</v>
      </c>
      <c r="J31" t="s">
        <v>20</v>
      </c>
      <c r="K31" t="s">
        <v>67</v>
      </c>
      <c r="L31" t="s">
        <v>82</v>
      </c>
      <c r="M31" s="22">
        <v>18</v>
      </c>
      <c r="Q31" s="21">
        <f t="shared" si="3"/>
        <v>126</v>
      </c>
    </row>
    <row r="32" spans="1:18" ht="15.75" x14ac:dyDescent="0.25">
      <c r="B32" s="17" t="s">
        <v>132</v>
      </c>
      <c r="C32" s="17" t="s">
        <v>58</v>
      </c>
      <c r="E32" s="17" t="s">
        <v>58</v>
      </c>
      <c r="F32" s="26" t="s">
        <v>133</v>
      </c>
      <c r="G32">
        <v>76100</v>
      </c>
      <c r="H32">
        <v>76110</v>
      </c>
      <c r="I32" s="14">
        <f t="shared" si="2"/>
        <v>10</v>
      </c>
      <c r="J32" t="s">
        <v>44</v>
      </c>
      <c r="K32" t="s">
        <v>66</v>
      </c>
      <c r="L32" t="s">
        <v>82</v>
      </c>
      <c r="M32" s="22">
        <v>18</v>
      </c>
      <c r="Q32" s="21">
        <f t="shared" si="3"/>
        <v>180</v>
      </c>
    </row>
    <row r="33" spans="2:17" ht="15.75" x14ac:dyDescent="0.25">
      <c r="B33" s="17" t="s">
        <v>132</v>
      </c>
      <c r="C33" s="29" t="s">
        <v>29</v>
      </c>
      <c r="E33" s="29" t="s">
        <v>29</v>
      </c>
      <c r="F33" s="17" t="s">
        <v>22</v>
      </c>
      <c r="G33">
        <v>76110</v>
      </c>
      <c r="H33">
        <v>76116</v>
      </c>
      <c r="I33" s="14">
        <f t="shared" si="2"/>
        <v>6</v>
      </c>
      <c r="J33" t="s">
        <v>42</v>
      </c>
      <c r="L33" t="s">
        <v>28</v>
      </c>
      <c r="M33" s="22">
        <v>18</v>
      </c>
      <c r="Q33" s="21">
        <f t="shared" si="3"/>
        <v>108</v>
      </c>
    </row>
    <row r="34" spans="2:17" ht="15.75" x14ac:dyDescent="0.25">
      <c r="B34" s="19" t="s">
        <v>135</v>
      </c>
      <c r="C34" s="29" t="s">
        <v>29</v>
      </c>
      <c r="E34" s="29" t="s">
        <v>29</v>
      </c>
      <c r="F34" t="s">
        <v>30</v>
      </c>
      <c r="G34">
        <v>76116</v>
      </c>
      <c r="H34">
        <v>76124</v>
      </c>
      <c r="I34" s="14">
        <f t="shared" si="2"/>
        <v>8</v>
      </c>
      <c r="J34" t="s">
        <v>51</v>
      </c>
      <c r="K34" t="s">
        <v>68</v>
      </c>
      <c r="L34" t="s">
        <v>28</v>
      </c>
      <c r="M34" s="22">
        <v>18</v>
      </c>
      <c r="Q34" s="21">
        <f t="shared" si="3"/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7"/>
  <sheetViews>
    <sheetView workbookViewId="0">
      <pane ySplit="1" topLeftCell="A11" activePane="bottomLeft" state="frozen"/>
      <selection pane="bottomLeft" activeCell="C21" sqref="C21"/>
    </sheetView>
  </sheetViews>
  <sheetFormatPr defaultRowHeight="15" x14ac:dyDescent="0.25"/>
  <cols>
    <col min="1" max="1" width="5.7109375" customWidth="1"/>
    <col min="2" max="2" width="11.140625" bestFit="1" customWidth="1"/>
    <col min="3" max="3" width="17.42578125" bestFit="1" customWidth="1"/>
    <col min="4" max="4" width="8.42578125" customWidth="1"/>
    <col min="5" max="5" width="17.42578125" bestFit="1" customWidth="1"/>
    <col min="6" max="6" width="17" bestFit="1" customWidth="1"/>
    <col min="12" max="12" width="8.5703125" bestFit="1" customWidth="1"/>
    <col min="14" max="14" width="17" bestFit="1" customWidth="1"/>
    <col min="21" max="21" width="11.140625" customWidth="1"/>
    <col min="22" max="22" width="13.5703125" bestFit="1" customWidth="1"/>
  </cols>
  <sheetData>
    <row r="1" spans="1:22" ht="78.75" x14ac:dyDescent="0.25">
      <c r="A1" s="3" t="s">
        <v>148</v>
      </c>
      <c r="B1" s="7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1" t="s">
        <v>71</v>
      </c>
      <c r="K1" s="31" t="s">
        <v>150</v>
      </c>
      <c r="L1" s="6" t="s">
        <v>8</v>
      </c>
      <c r="M1" s="3" t="s">
        <v>9</v>
      </c>
      <c r="N1" s="5" t="s">
        <v>10</v>
      </c>
      <c r="O1" s="8" t="s">
        <v>11</v>
      </c>
      <c r="P1" s="8" t="s">
        <v>146</v>
      </c>
      <c r="Q1" s="8" t="s">
        <v>147</v>
      </c>
      <c r="R1" s="4" t="s">
        <v>12</v>
      </c>
      <c r="S1" s="4" t="s">
        <v>13</v>
      </c>
      <c r="T1" s="4" t="s">
        <v>14</v>
      </c>
      <c r="U1" s="3" t="s">
        <v>15</v>
      </c>
      <c r="V1" s="3" t="s">
        <v>149</v>
      </c>
    </row>
    <row r="2" spans="1:22" s="96" customFormat="1" ht="15.75" x14ac:dyDescent="0.25">
      <c r="A2" s="93">
        <v>1</v>
      </c>
      <c r="B2" s="93" t="s">
        <v>138</v>
      </c>
      <c r="C2" s="93" t="s">
        <v>43</v>
      </c>
      <c r="D2" s="93"/>
      <c r="E2" s="93" t="s">
        <v>43</v>
      </c>
      <c r="F2" s="93" t="s">
        <v>136</v>
      </c>
      <c r="G2" s="93">
        <v>76124</v>
      </c>
      <c r="H2" s="93">
        <v>76150</v>
      </c>
      <c r="I2" s="105">
        <f>H2-G2</f>
        <v>26</v>
      </c>
      <c r="J2" s="111">
        <v>18</v>
      </c>
      <c r="K2" s="112">
        <f>I2*J2</f>
        <v>468</v>
      </c>
      <c r="L2" s="93"/>
      <c r="M2" s="93"/>
      <c r="N2" s="93" t="s">
        <v>137</v>
      </c>
      <c r="O2" s="111">
        <v>0</v>
      </c>
      <c r="P2" s="111">
        <v>0</v>
      </c>
      <c r="Q2" s="113">
        <f>O2*P2</f>
        <v>0</v>
      </c>
      <c r="R2" s="93"/>
      <c r="S2" s="93"/>
      <c r="T2" s="112">
        <f>SUM(K2+Q2)</f>
        <v>468</v>
      </c>
      <c r="U2" s="93"/>
      <c r="V2" s="93" t="s">
        <v>169</v>
      </c>
    </row>
    <row r="3" spans="1:22" s="96" customFormat="1" ht="15.75" x14ac:dyDescent="0.25">
      <c r="A3" s="93">
        <v>2</v>
      </c>
      <c r="B3" s="93" t="s">
        <v>138</v>
      </c>
      <c r="C3" s="93" t="s">
        <v>43</v>
      </c>
      <c r="D3" s="93"/>
      <c r="E3" s="93" t="s">
        <v>43</v>
      </c>
      <c r="F3" s="93" t="s">
        <v>81</v>
      </c>
      <c r="G3" s="93"/>
      <c r="H3" s="93"/>
      <c r="I3" s="105">
        <f t="shared" ref="I3:I22" si="0">H3-G3</f>
        <v>0</v>
      </c>
      <c r="J3" s="111"/>
      <c r="K3" s="112">
        <f t="shared" ref="K3:K19" si="1">I3*J3</f>
        <v>0</v>
      </c>
      <c r="L3" s="93" t="s">
        <v>20</v>
      </c>
      <c r="M3" s="93" t="s">
        <v>63</v>
      </c>
      <c r="N3" s="93" t="s">
        <v>137</v>
      </c>
      <c r="O3" s="111">
        <v>100</v>
      </c>
      <c r="P3" s="111">
        <v>8</v>
      </c>
      <c r="Q3" s="113">
        <f t="shared" ref="Q3:Q22" si="2">O3*P3</f>
        <v>800</v>
      </c>
      <c r="R3" s="93"/>
      <c r="S3" s="93"/>
      <c r="T3" s="112">
        <f t="shared" ref="T3:T22" si="3">SUM(K3+Q3)</f>
        <v>800</v>
      </c>
      <c r="U3" s="93"/>
      <c r="V3" s="93" t="s">
        <v>169</v>
      </c>
    </row>
    <row r="4" spans="1:22" s="96" customFormat="1" ht="15.75" x14ac:dyDescent="0.25">
      <c r="A4" s="93">
        <v>3</v>
      </c>
      <c r="B4" s="93" t="s">
        <v>140</v>
      </c>
      <c r="C4" s="93" t="s">
        <v>18</v>
      </c>
      <c r="D4" s="93"/>
      <c r="E4" s="93" t="s">
        <v>57</v>
      </c>
      <c r="F4" s="93" t="s">
        <v>139</v>
      </c>
      <c r="G4" s="93"/>
      <c r="H4" s="93"/>
      <c r="I4" s="105">
        <f t="shared" si="0"/>
        <v>0</v>
      </c>
      <c r="J4" s="111"/>
      <c r="K4" s="112">
        <f t="shared" si="1"/>
        <v>0</v>
      </c>
      <c r="L4" s="93" t="s">
        <v>19</v>
      </c>
      <c r="M4" s="93" t="s">
        <v>66</v>
      </c>
      <c r="N4" s="93" t="s">
        <v>137</v>
      </c>
      <c r="O4" s="111">
        <v>100</v>
      </c>
      <c r="P4" s="111">
        <v>6</v>
      </c>
      <c r="Q4" s="113">
        <f t="shared" si="2"/>
        <v>600</v>
      </c>
      <c r="R4" s="93"/>
      <c r="S4" s="93"/>
      <c r="T4" s="112">
        <f t="shared" si="3"/>
        <v>600</v>
      </c>
      <c r="U4" s="93"/>
      <c r="V4" s="93" t="s">
        <v>170</v>
      </c>
    </row>
    <row r="5" spans="1:22" ht="15.75" x14ac:dyDescent="0.25">
      <c r="A5" s="15">
        <v>4</v>
      </c>
      <c r="B5" s="15" t="s">
        <v>140</v>
      </c>
      <c r="C5" s="15" t="s">
        <v>141</v>
      </c>
      <c r="D5" s="15"/>
      <c r="E5" s="15" t="s">
        <v>46</v>
      </c>
      <c r="F5" s="15" t="s">
        <v>142</v>
      </c>
      <c r="G5" s="15">
        <v>76151</v>
      </c>
      <c r="H5" s="15">
        <v>76153</v>
      </c>
      <c r="I5" s="36">
        <f t="shared" si="0"/>
        <v>2</v>
      </c>
      <c r="J5" s="37">
        <v>18</v>
      </c>
      <c r="K5" s="38">
        <f t="shared" si="1"/>
        <v>36</v>
      </c>
      <c r="L5" s="15"/>
      <c r="M5" s="15"/>
      <c r="N5" s="15" t="s">
        <v>143</v>
      </c>
      <c r="O5" s="37"/>
      <c r="P5" s="37"/>
      <c r="Q5" s="39">
        <v>36</v>
      </c>
      <c r="R5" s="30"/>
      <c r="S5" s="30"/>
      <c r="T5" s="38">
        <f t="shared" si="3"/>
        <v>72</v>
      </c>
      <c r="U5" s="30"/>
      <c r="V5" s="30"/>
    </row>
    <row r="6" spans="1:22" ht="15.75" x14ac:dyDescent="0.25">
      <c r="A6" s="17">
        <v>5</v>
      </c>
      <c r="B6" s="17" t="s">
        <v>144</v>
      </c>
      <c r="C6" s="30" t="s">
        <v>29</v>
      </c>
      <c r="D6" s="30"/>
      <c r="E6" s="30" t="s">
        <v>29</v>
      </c>
      <c r="F6" s="30" t="s">
        <v>145</v>
      </c>
      <c r="G6" s="30">
        <v>76153</v>
      </c>
      <c r="H6" s="30">
        <v>76163</v>
      </c>
      <c r="I6" s="33">
        <f t="shared" si="0"/>
        <v>10</v>
      </c>
      <c r="J6" s="32">
        <v>18</v>
      </c>
      <c r="K6" s="34">
        <f t="shared" si="1"/>
        <v>180</v>
      </c>
      <c r="L6" s="30"/>
      <c r="M6" s="30"/>
      <c r="N6" s="30" t="s">
        <v>137</v>
      </c>
      <c r="O6" s="32"/>
      <c r="P6" s="32"/>
      <c r="Q6" s="35">
        <f t="shared" si="2"/>
        <v>0</v>
      </c>
      <c r="R6" s="30"/>
      <c r="S6" s="30"/>
      <c r="T6" s="38">
        <f t="shared" si="3"/>
        <v>180</v>
      </c>
      <c r="U6" s="30"/>
      <c r="V6" s="30"/>
    </row>
    <row r="7" spans="1:22" ht="15.75" x14ac:dyDescent="0.25">
      <c r="A7" s="17">
        <v>6</v>
      </c>
      <c r="B7" s="17" t="s">
        <v>152</v>
      </c>
      <c r="C7" s="30" t="s">
        <v>58</v>
      </c>
      <c r="D7" s="30"/>
      <c r="E7" s="30" t="s">
        <v>58</v>
      </c>
      <c r="F7" s="30" t="s">
        <v>30</v>
      </c>
      <c r="G7" s="30">
        <v>76163</v>
      </c>
      <c r="H7" s="30">
        <v>76170</v>
      </c>
      <c r="I7" s="33">
        <f t="shared" si="0"/>
        <v>7</v>
      </c>
      <c r="J7" s="32">
        <v>18</v>
      </c>
      <c r="K7" s="34">
        <f t="shared" si="1"/>
        <v>126</v>
      </c>
      <c r="L7" s="30" t="s">
        <v>153</v>
      </c>
      <c r="M7" s="30" t="s">
        <v>154</v>
      </c>
      <c r="N7" s="30" t="s">
        <v>137</v>
      </c>
      <c r="O7" s="32"/>
      <c r="P7" s="32"/>
      <c r="Q7" s="35">
        <f t="shared" si="2"/>
        <v>0</v>
      </c>
      <c r="R7" s="30"/>
      <c r="S7" s="30"/>
      <c r="T7" s="38">
        <f>SUM(K7+Q7)</f>
        <v>126</v>
      </c>
      <c r="U7" s="30"/>
      <c r="V7" s="30"/>
    </row>
    <row r="8" spans="1:22" s="96" customFormat="1" ht="15.75" x14ac:dyDescent="0.25">
      <c r="A8" s="93">
        <v>7</v>
      </c>
      <c r="B8" s="93" t="s">
        <v>155</v>
      </c>
      <c r="C8" s="93" t="s">
        <v>43</v>
      </c>
      <c r="D8" s="93"/>
      <c r="E8" s="93" t="s">
        <v>43</v>
      </c>
      <c r="F8" s="93" t="s">
        <v>136</v>
      </c>
      <c r="G8" s="93">
        <v>76170</v>
      </c>
      <c r="H8" s="93">
        <v>76198</v>
      </c>
      <c r="I8" s="105">
        <f t="shared" si="0"/>
        <v>28</v>
      </c>
      <c r="J8" s="111">
        <v>18</v>
      </c>
      <c r="K8" s="112">
        <f t="shared" si="1"/>
        <v>504</v>
      </c>
      <c r="L8" s="93" t="s">
        <v>62</v>
      </c>
      <c r="M8" s="93" t="s">
        <v>156</v>
      </c>
      <c r="N8" s="93" t="s">
        <v>137</v>
      </c>
      <c r="O8" s="111"/>
      <c r="P8" s="111"/>
      <c r="Q8" s="113">
        <f t="shared" si="2"/>
        <v>0</v>
      </c>
      <c r="R8" s="93"/>
      <c r="S8" s="93"/>
      <c r="T8" s="112">
        <f t="shared" si="3"/>
        <v>504</v>
      </c>
      <c r="U8" s="93"/>
      <c r="V8" s="93" t="s">
        <v>169</v>
      </c>
    </row>
    <row r="9" spans="1:22" ht="15.75" x14ac:dyDescent="0.25">
      <c r="A9" s="17">
        <v>8</v>
      </c>
      <c r="B9" s="17" t="s">
        <v>155</v>
      </c>
      <c r="C9" s="30" t="s">
        <v>29</v>
      </c>
      <c r="D9" s="30"/>
      <c r="E9" s="30" t="s">
        <v>29</v>
      </c>
      <c r="F9" s="30" t="s">
        <v>30</v>
      </c>
      <c r="G9" s="30">
        <v>76198</v>
      </c>
      <c r="H9" s="30">
        <v>76203</v>
      </c>
      <c r="I9" s="33">
        <f t="shared" si="0"/>
        <v>5</v>
      </c>
      <c r="J9" s="32">
        <v>18</v>
      </c>
      <c r="K9" s="34">
        <f t="shared" si="1"/>
        <v>90</v>
      </c>
      <c r="L9" s="30" t="s">
        <v>34</v>
      </c>
      <c r="M9" s="30" t="s">
        <v>157</v>
      </c>
      <c r="N9" s="30" t="s">
        <v>137</v>
      </c>
      <c r="O9" s="32"/>
      <c r="P9" s="32"/>
      <c r="Q9" s="35">
        <f t="shared" si="2"/>
        <v>0</v>
      </c>
      <c r="R9" s="30"/>
      <c r="S9" s="30"/>
      <c r="T9" s="38">
        <f t="shared" si="3"/>
        <v>90</v>
      </c>
      <c r="U9" s="30"/>
      <c r="V9" s="30"/>
    </row>
    <row r="10" spans="1:22" ht="15.75" x14ac:dyDescent="0.25">
      <c r="A10" s="17">
        <v>9</v>
      </c>
      <c r="B10" s="17" t="s">
        <v>158</v>
      </c>
      <c r="C10" s="30" t="s">
        <v>58</v>
      </c>
      <c r="D10" s="30"/>
      <c r="E10" s="30" t="s">
        <v>58</v>
      </c>
      <c r="F10" s="30" t="s">
        <v>40</v>
      </c>
      <c r="G10" s="30">
        <v>76203</v>
      </c>
      <c r="H10" s="30">
        <v>76209</v>
      </c>
      <c r="I10" s="33">
        <f t="shared" si="0"/>
        <v>6</v>
      </c>
      <c r="J10" s="32">
        <v>18</v>
      </c>
      <c r="K10" s="34">
        <f t="shared" si="1"/>
        <v>108</v>
      </c>
      <c r="L10" s="30" t="s">
        <v>159</v>
      </c>
      <c r="M10" s="30" t="s">
        <v>160</v>
      </c>
      <c r="N10" s="30" t="s">
        <v>137</v>
      </c>
      <c r="O10" s="32"/>
      <c r="P10" s="32"/>
      <c r="Q10" s="35">
        <f t="shared" si="2"/>
        <v>0</v>
      </c>
      <c r="R10" s="30"/>
      <c r="S10" s="30"/>
      <c r="T10" s="38">
        <f t="shared" si="3"/>
        <v>108</v>
      </c>
      <c r="U10" s="30"/>
      <c r="V10" s="30"/>
    </row>
    <row r="11" spans="1:22" ht="15.75" x14ac:dyDescent="0.25">
      <c r="A11" s="17">
        <v>10</v>
      </c>
      <c r="B11" s="17" t="s">
        <v>161</v>
      </c>
      <c r="C11" s="30" t="s">
        <v>450</v>
      </c>
      <c r="D11" s="30"/>
      <c r="E11" s="30" t="s">
        <v>58</v>
      </c>
      <c r="F11" s="30" t="s">
        <v>25</v>
      </c>
      <c r="G11" s="30">
        <v>76209</v>
      </c>
      <c r="H11" s="30">
        <v>76211</v>
      </c>
      <c r="I11" s="33">
        <f t="shared" si="0"/>
        <v>2</v>
      </c>
      <c r="J11" s="32">
        <v>18</v>
      </c>
      <c r="K11" s="34">
        <f t="shared" si="1"/>
        <v>36</v>
      </c>
      <c r="L11" s="30" t="s">
        <v>20</v>
      </c>
      <c r="M11" s="30" t="s">
        <v>167</v>
      </c>
      <c r="N11" s="30" t="s">
        <v>137</v>
      </c>
      <c r="O11" s="32"/>
      <c r="P11" s="32"/>
      <c r="Q11" s="35">
        <f t="shared" si="2"/>
        <v>0</v>
      </c>
      <c r="R11" s="30"/>
      <c r="S11" s="30"/>
      <c r="T11" s="38">
        <f t="shared" si="3"/>
        <v>36</v>
      </c>
      <c r="U11" s="30"/>
      <c r="V11" s="30"/>
    </row>
    <row r="12" spans="1:22" s="96" customFormat="1" ht="15.75" x14ac:dyDescent="0.25">
      <c r="A12" s="93">
        <v>11</v>
      </c>
      <c r="B12" s="93" t="s">
        <v>162</v>
      </c>
      <c r="C12" s="93" t="s">
        <v>43</v>
      </c>
      <c r="D12" s="93"/>
      <c r="E12" s="93" t="s">
        <v>43</v>
      </c>
      <c r="F12" s="93" t="s">
        <v>136</v>
      </c>
      <c r="G12" s="93">
        <v>76212</v>
      </c>
      <c r="H12" s="93">
        <v>76230</v>
      </c>
      <c r="I12" s="105">
        <f t="shared" si="0"/>
        <v>18</v>
      </c>
      <c r="J12" s="111">
        <v>18</v>
      </c>
      <c r="K12" s="112">
        <f t="shared" si="1"/>
        <v>324</v>
      </c>
      <c r="L12" s="93" t="s">
        <v>163</v>
      </c>
      <c r="M12" s="93" t="s">
        <v>164</v>
      </c>
      <c r="N12" s="93" t="s">
        <v>137</v>
      </c>
      <c r="O12" s="111"/>
      <c r="P12" s="111"/>
      <c r="Q12" s="113">
        <f t="shared" si="2"/>
        <v>0</v>
      </c>
      <c r="R12" s="93"/>
      <c r="S12" s="93"/>
      <c r="T12" s="112">
        <f t="shared" si="3"/>
        <v>324</v>
      </c>
      <c r="U12" s="93"/>
      <c r="V12" s="93" t="s">
        <v>169</v>
      </c>
    </row>
    <row r="13" spans="1:22" ht="15.75" x14ac:dyDescent="0.25">
      <c r="A13" s="17">
        <v>12</v>
      </c>
      <c r="B13" s="17" t="s">
        <v>162</v>
      </c>
      <c r="C13" s="30" t="s">
        <v>450</v>
      </c>
      <c r="D13" s="30"/>
      <c r="E13" s="30" t="s">
        <v>58</v>
      </c>
      <c r="F13" s="17" t="s">
        <v>40</v>
      </c>
      <c r="G13" s="30">
        <v>76233</v>
      </c>
      <c r="H13" s="30">
        <v>76238</v>
      </c>
      <c r="I13" s="33">
        <f t="shared" si="0"/>
        <v>5</v>
      </c>
      <c r="J13" s="32">
        <v>18</v>
      </c>
      <c r="K13" s="34">
        <f t="shared" si="1"/>
        <v>90</v>
      </c>
      <c r="L13" s="30" t="s">
        <v>166</v>
      </c>
      <c r="M13" s="30" t="s">
        <v>165</v>
      </c>
      <c r="N13" s="30" t="s">
        <v>137</v>
      </c>
      <c r="O13" s="32"/>
      <c r="P13" s="32"/>
      <c r="Q13" s="35">
        <f t="shared" si="2"/>
        <v>0</v>
      </c>
      <c r="R13" s="30"/>
      <c r="S13" s="30"/>
      <c r="T13" s="38">
        <f t="shared" si="3"/>
        <v>90</v>
      </c>
      <c r="U13" s="30"/>
      <c r="V13" s="30"/>
    </row>
    <row r="14" spans="1:22" ht="15.75" x14ac:dyDescent="0.25">
      <c r="A14" s="17">
        <v>13</v>
      </c>
      <c r="B14" s="17" t="s">
        <v>162</v>
      </c>
      <c r="C14" s="30" t="s">
        <v>450</v>
      </c>
      <c r="D14" s="30"/>
      <c r="E14" s="30" t="s">
        <v>58</v>
      </c>
      <c r="F14" s="17" t="s">
        <v>168</v>
      </c>
      <c r="G14" s="30">
        <v>76238</v>
      </c>
      <c r="H14" s="30">
        <v>76253</v>
      </c>
      <c r="I14" s="33">
        <f t="shared" si="0"/>
        <v>15</v>
      </c>
      <c r="J14" s="32">
        <v>18</v>
      </c>
      <c r="K14" s="34">
        <f t="shared" si="1"/>
        <v>270</v>
      </c>
      <c r="L14" s="30" t="s">
        <v>60</v>
      </c>
      <c r="M14" s="30" t="s">
        <v>179</v>
      </c>
      <c r="N14" s="30" t="s">
        <v>137</v>
      </c>
      <c r="O14" s="32"/>
      <c r="P14" s="32"/>
      <c r="Q14" s="35">
        <f t="shared" si="2"/>
        <v>0</v>
      </c>
      <c r="R14" s="30"/>
      <c r="S14" s="30"/>
      <c r="T14" s="38">
        <f t="shared" si="3"/>
        <v>270</v>
      </c>
      <c r="U14" s="30"/>
      <c r="V14" s="30"/>
    </row>
    <row r="15" spans="1:22" ht="15.75" x14ac:dyDescent="0.25">
      <c r="A15" s="17">
        <v>14</v>
      </c>
      <c r="B15" s="17" t="s">
        <v>172</v>
      </c>
      <c r="C15" s="30" t="s">
        <v>450</v>
      </c>
      <c r="D15" s="30"/>
      <c r="E15" s="30" t="s">
        <v>58</v>
      </c>
      <c r="F15" s="30" t="s">
        <v>23</v>
      </c>
      <c r="G15" s="30">
        <v>76254</v>
      </c>
      <c r="H15" s="30">
        <v>76317</v>
      </c>
      <c r="I15" s="33">
        <f t="shared" si="0"/>
        <v>63</v>
      </c>
      <c r="J15" s="32">
        <v>18</v>
      </c>
      <c r="K15" s="34">
        <f t="shared" si="1"/>
        <v>1134</v>
      </c>
      <c r="L15" s="30" t="s">
        <v>178</v>
      </c>
      <c r="M15" s="30" t="s">
        <v>41</v>
      </c>
      <c r="N15" s="30" t="s">
        <v>137</v>
      </c>
      <c r="O15" s="32"/>
      <c r="P15" s="32"/>
      <c r="Q15" s="35">
        <f t="shared" si="2"/>
        <v>0</v>
      </c>
      <c r="R15" s="30"/>
      <c r="S15" s="30"/>
      <c r="T15" s="38">
        <f t="shared" si="3"/>
        <v>1134</v>
      </c>
      <c r="U15" s="30"/>
      <c r="V15" s="30"/>
    </row>
    <row r="16" spans="1:22" s="96" customFormat="1" ht="15.75" x14ac:dyDescent="0.25">
      <c r="A16" s="93">
        <v>15</v>
      </c>
      <c r="B16" s="93" t="s">
        <v>173</v>
      </c>
      <c r="C16" s="93" t="s">
        <v>175</v>
      </c>
      <c r="D16" s="93"/>
      <c r="E16" s="93" t="s">
        <v>175</v>
      </c>
      <c r="F16" s="93" t="s">
        <v>40</v>
      </c>
      <c r="G16" s="93">
        <v>76318</v>
      </c>
      <c r="H16" s="93">
        <v>76324</v>
      </c>
      <c r="I16" s="105">
        <f t="shared" si="0"/>
        <v>6</v>
      </c>
      <c r="J16" s="111">
        <v>18</v>
      </c>
      <c r="K16" s="112">
        <f t="shared" si="1"/>
        <v>108</v>
      </c>
      <c r="L16" s="93" t="s">
        <v>176</v>
      </c>
      <c r="M16" s="93" t="s">
        <v>177</v>
      </c>
      <c r="N16" s="93" t="s">
        <v>137</v>
      </c>
      <c r="O16" s="111"/>
      <c r="P16" s="111"/>
      <c r="Q16" s="113">
        <f t="shared" si="2"/>
        <v>0</v>
      </c>
      <c r="R16" s="93"/>
      <c r="S16" s="93"/>
      <c r="T16" s="112">
        <f t="shared" si="3"/>
        <v>108</v>
      </c>
      <c r="U16" s="93"/>
      <c r="V16" s="93" t="s">
        <v>370</v>
      </c>
    </row>
    <row r="17" spans="1:22" s="96" customFormat="1" ht="15.75" x14ac:dyDescent="0.25">
      <c r="A17" s="93">
        <v>16</v>
      </c>
      <c r="B17" s="93" t="s">
        <v>173</v>
      </c>
      <c r="C17" s="93" t="s">
        <v>175</v>
      </c>
      <c r="D17" s="93"/>
      <c r="E17" s="93" t="s">
        <v>175</v>
      </c>
      <c r="F17" s="93" t="s">
        <v>40</v>
      </c>
      <c r="G17" s="93">
        <v>76324</v>
      </c>
      <c r="H17" s="93">
        <v>76329</v>
      </c>
      <c r="I17" s="105">
        <f t="shared" si="0"/>
        <v>5</v>
      </c>
      <c r="J17" s="111">
        <v>18</v>
      </c>
      <c r="K17" s="112">
        <f t="shared" si="1"/>
        <v>90</v>
      </c>
      <c r="L17" s="93" t="s">
        <v>180</v>
      </c>
      <c r="M17" s="93" t="s">
        <v>181</v>
      </c>
      <c r="N17" s="93" t="s">
        <v>137</v>
      </c>
      <c r="O17" s="93"/>
      <c r="P17" s="93"/>
      <c r="Q17" s="113">
        <f t="shared" si="2"/>
        <v>0</v>
      </c>
      <c r="R17" s="93"/>
      <c r="S17" s="93"/>
      <c r="T17" s="112">
        <f t="shared" si="3"/>
        <v>90</v>
      </c>
      <c r="U17" s="93"/>
      <c r="V17" s="93" t="s">
        <v>370</v>
      </c>
    </row>
    <row r="18" spans="1:22" ht="15.75" x14ac:dyDescent="0.25">
      <c r="A18" s="30">
        <v>17</v>
      </c>
      <c r="B18" s="17" t="s">
        <v>173</v>
      </c>
      <c r="C18" s="30" t="s">
        <v>28</v>
      </c>
      <c r="D18" s="30"/>
      <c r="E18" s="30" t="s">
        <v>29</v>
      </c>
      <c r="F18" s="30" t="s">
        <v>30</v>
      </c>
      <c r="G18" s="30">
        <v>76329</v>
      </c>
      <c r="H18" s="30">
        <v>76334</v>
      </c>
      <c r="I18" s="33">
        <f t="shared" si="0"/>
        <v>5</v>
      </c>
      <c r="J18" s="32">
        <v>18</v>
      </c>
      <c r="K18" s="34">
        <f t="shared" si="1"/>
        <v>90</v>
      </c>
      <c r="L18" s="30" t="s">
        <v>182</v>
      </c>
      <c r="M18" s="30" t="s">
        <v>183</v>
      </c>
      <c r="N18" s="30" t="s">
        <v>137</v>
      </c>
      <c r="O18" s="30"/>
      <c r="P18" s="30"/>
      <c r="Q18" s="35">
        <f t="shared" si="2"/>
        <v>0</v>
      </c>
      <c r="R18" s="30"/>
      <c r="S18" s="30"/>
      <c r="T18" s="38">
        <f t="shared" si="3"/>
        <v>90</v>
      </c>
      <c r="U18" s="30"/>
      <c r="V18" s="30"/>
    </row>
    <row r="19" spans="1:22" s="96" customFormat="1" x14ac:dyDescent="0.25">
      <c r="A19" s="93">
        <v>18</v>
      </c>
      <c r="B19" s="93" t="s">
        <v>174</v>
      </c>
      <c r="C19" s="93" t="s">
        <v>18</v>
      </c>
      <c r="D19" s="93"/>
      <c r="E19" s="93" t="s">
        <v>184</v>
      </c>
      <c r="F19" s="93" t="s">
        <v>75</v>
      </c>
      <c r="G19" s="93">
        <v>76334</v>
      </c>
      <c r="H19" s="93">
        <v>76390</v>
      </c>
      <c r="I19" s="94">
        <f t="shared" si="0"/>
        <v>56</v>
      </c>
      <c r="J19" s="111">
        <v>18</v>
      </c>
      <c r="K19" s="112">
        <f t="shared" si="1"/>
        <v>1008</v>
      </c>
      <c r="L19" s="119" t="s">
        <v>185</v>
      </c>
      <c r="M19" s="93" t="s">
        <v>186</v>
      </c>
      <c r="N19" s="93" t="s">
        <v>137</v>
      </c>
      <c r="O19" s="93"/>
      <c r="P19" s="93"/>
      <c r="Q19" s="113">
        <f t="shared" si="2"/>
        <v>0</v>
      </c>
      <c r="R19" s="93"/>
      <c r="S19" s="93"/>
      <c r="T19" s="112">
        <f t="shared" si="3"/>
        <v>1008</v>
      </c>
      <c r="U19" s="93"/>
      <c r="V19" s="93" t="s">
        <v>372</v>
      </c>
    </row>
    <row r="20" spans="1:22" s="96" customFormat="1" x14ac:dyDescent="0.25">
      <c r="A20" s="93">
        <v>19</v>
      </c>
      <c r="B20" s="93" t="s">
        <v>187</v>
      </c>
      <c r="C20" s="93" t="s">
        <v>188</v>
      </c>
      <c r="D20" s="93"/>
      <c r="E20" s="93" t="s">
        <v>188</v>
      </c>
      <c r="F20" s="93" t="s">
        <v>40</v>
      </c>
      <c r="G20" s="93">
        <v>76391</v>
      </c>
      <c r="H20" s="93">
        <v>76397</v>
      </c>
      <c r="I20" s="93">
        <f t="shared" si="0"/>
        <v>6</v>
      </c>
      <c r="J20" s="93">
        <v>18</v>
      </c>
      <c r="K20" s="94">
        <f>I20*J20</f>
        <v>108</v>
      </c>
      <c r="L20" s="93" t="s">
        <v>167</v>
      </c>
      <c r="M20" s="93" t="s">
        <v>189</v>
      </c>
      <c r="N20" s="93" t="s">
        <v>137</v>
      </c>
      <c r="O20" s="93"/>
      <c r="P20" s="93"/>
      <c r="Q20" s="113">
        <f t="shared" si="2"/>
        <v>0</v>
      </c>
      <c r="R20" s="93"/>
      <c r="S20" s="93"/>
      <c r="T20" s="112">
        <f t="shared" si="3"/>
        <v>108</v>
      </c>
      <c r="U20" s="93"/>
      <c r="V20" s="93" t="s">
        <v>370</v>
      </c>
    </row>
    <row r="21" spans="1:22" s="96" customFormat="1" x14ac:dyDescent="0.25">
      <c r="A21" s="93">
        <v>20</v>
      </c>
      <c r="B21" s="93" t="s">
        <v>187</v>
      </c>
      <c r="C21" s="93" t="s">
        <v>188</v>
      </c>
      <c r="D21" s="93"/>
      <c r="E21" s="93" t="s">
        <v>188</v>
      </c>
      <c r="F21" s="93" t="s">
        <v>30</v>
      </c>
      <c r="G21" s="93">
        <v>76397</v>
      </c>
      <c r="H21" s="93">
        <v>76403</v>
      </c>
      <c r="I21" s="93">
        <f t="shared" si="0"/>
        <v>6</v>
      </c>
      <c r="J21" s="93">
        <v>18</v>
      </c>
      <c r="K21" s="93">
        <f>I21*J21</f>
        <v>108</v>
      </c>
      <c r="L21" s="93" t="s">
        <v>190</v>
      </c>
      <c r="M21" s="93" t="s">
        <v>54</v>
      </c>
      <c r="N21" s="93" t="s">
        <v>137</v>
      </c>
      <c r="O21" s="93"/>
      <c r="P21" s="93"/>
      <c r="Q21" s="113">
        <f t="shared" si="2"/>
        <v>0</v>
      </c>
      <c r="R21" s="93"/>
      <c r="S21" s="93"/>
      <c r="T21" s="112">
        <f t="shared" si="3"/>
        <v>108</v>
      </c>
      <c r="U21" s="93"/>
      <c r="V21" s="93" t="s">
        <v>370</v>
      </c>
    </row>
    <row r="22" spans="1:22" s="9" customFormat="1" x14ac:dyDescent="0.25">
      <c r="A22" s="18">
        <v>21</v>
      </c>
      <c r="B22" s="18" t="s">
        <v>191</v>
      </c>
      <c r="C22" s="18" t="s">
        <v>192</v>
      </c>
      <c r="D22" s="18"/>
      <c r="E22" s="18" t="s">
        <v>193</v>
      </c>
      <c r="F22" s="18" t="s">
        <v>194</v>
      </c>
      <c r="G22" s="18">
        <v>76403</v>
      </c>
      <c r="H22" s="18">
        <v>77667</v>
      </c>
      <c r="I22" s="18">
        <f t="shared" si="0"/>
        <v>1264</v>
      </c>
      <c r="J22" s="18">
        <v>18</v>
      </c>
      <c r="K22" s="18">
        <f>I22*J22</f>
        <v>22752</v>
      </c>
      <c r="L22" s="18" t="s">
        <v>196</v>
      </c>
      <c r="M22" s="18" t="s">
        <v>197</v>
      </c>
      <c r="N22" s="18" t="s">
        <v>195</v>
      </c>
      <c r="O22" s="18"/>
      <c r="P22" s="18"/>
      <c r="Q22" s="97">
        <f t="shared" si="2"/>
        <v>0</v>
      </c>
      <c r="R22" s="18"/>
      <c r="S22" s="18"/>
      <c r="T22" s="98">
        <f t="shared" si="3"/>
        <v>22752</v>
      </c>
      <c r="U22" s="18"/>
      <c r="V22" s="18"/>
    </row>
    <row r="23" spans="1:22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</row>
    <row r="27" spans="1:22" x14ac:dyDescent="0.25">
      <c r="F27" s="96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96"/>
  <sheetViews>
    <sheetView topLeftCell="H281" zoomScale="91" zoomScaleNormal="91" workbookViewId="0">
      <selection activeCell="P300" sqref="P300"/>
    </sheetView>
  </sheetViews>
  <sheetFormatPr defaultRowHeight="15" x14ac:dyDescent="0.25"/>
  <cols>
    <col min="1" max="1" width="5.85546875" customWidth="1"/>
    <col min="2" max="2" width="12" style="146" bestFit="1" customWidth="1"/>
    <col min="3" max="3" width="10.140625" customWidth="1"/>
    <col min="4" max="4" width="37" bestFit="1" customWidth="1"/>
    <col min="5" max="5" width="6.85546875" customWidth="1"/>
    <col min="6" max="6" width="21.5703125" bestFit="1" customWidth="1"/>
    <col min="7" max="7" width="248.5703125" customWidth="1"/>
    <col min="8" max="8" width="8.5703125" bestFit="1" customWidth="1"/>
    <col min="9" max="9" width="12.140625" bestFit="1" customWidth="1"/>
    <col min="11" max="11" width="11.5703125" customWidth="1"/>
    <col min="13" max="13" width="20" bestFit="1" customWidth="1"/>
    <col min="16" max="16" width="13.5703125" bestFit="1" customWidth="1"/>
    <col min="17" max="18" width="11.85546875" bestFit="1" customWidth="1"/>
    <col min="21" max="21" width="14.140625" customWidth="1"/>
    <col min="22" max="22" width="37.42578125" customWidth="1"/>
  </cols>
  <sheetData>
    <row r="1" spans="1:23" ht="47.25" x14ac:dyDescent="0.25">
      <c r="A1" s="41" t="s">
        <v>148</v>
      </c>
      <c r="B1" s="141" t="s">
        <v>0</v>
      </c>
      <c r="C1" s="42" t="s">
        <v>206</v>
      </c>
      <c r="D1" s="43" t="s">
        <v>1</v>
      </c>
      <c r="E1" s="43" t="s">
        <v>2</v>
      </c>
      <c r="F1" s="43" t="s">
        <v>202</v>
      </c>
      <c r="G1" s="43" t="s">
        <v>4</v>
      </c>
      <c r="H1" s="59" t="s">
        <v>5</v>
      </c>
      <c r="I1" s="60" t="s">
        <v>6</v>
      </c>
      <c r="J1" s="60" t="s">
        <v>7</v>
      </c>
      <c r="K1" s="61" t="s">
        <v>203</v>
      </c>
      <c r="L1" s="62" t="s">
        <v>204</v>
      </c>
      <c r="M1" s="53" t="s">
        <v>10</v>
      </c>
      <c r="N1" s="54" t="s">
        <v>8</v>
      </c>
      <c r="O1" s="55" t="s">
        <v>9</v>
      </c>
      <c r="P1" s="56" t="s">
        <v>11</v>
      </c>
      <c r="Q1" s="56" t="s">
        <v>205</v>
      </c>
      <c r="R1" s="57" t="s">
        <v>147</v>
      </c>
      <c r="S1" s="58" t="s">
        <v>12</v>
      </c>
      <c r="T1" s="48" t="s">
        <v>14</v>
      </c>
      <c r="U1" s="46" t="s">
        <v>149</v>
      </c>
      <c r="V1" s="46" t="s">
        <v>15</v>
      </c>
    </row>
    <row r="2" spans="1:23" ht="15.75" x14ac:dyDescent="0.25">
      <c r="A2" s="17">
        <v>1</v>
      </c>
      <c r="B2" s="142" t="s">
        <v>656</v>
      </c>
      <c r="C2" s="44" t="s">
        <v>207</v>
      </c>
      <c r="D2" s="17" t="s">
        <v>379</v>
      </c>
      <c r="E2" s="17"/>
      <c r="F2" s="17" t="s">
        <v>58</v>
      </c>
      <c r="G2" s="17" t="s">
        <v>661</v>
      </c>
      <c r="H2" s="30">
        <v>77669</v>
      </c>
      <c r="I2" s="30">
        <v>77690</v>
      </c>
      <c r="J2" s="84">
        <f t="shared" ref="J2:J3" si="0">I2-H2</f>
        <v>21</v>
      </c>
      <c r="K2" s="32">
        <v>18</v>
      </c>
      <c r="L2" s="47">
        <f t="shared" ref="L2:L3" si="1">J2*K2</f>
        <v>378</v>
      </c>
      <c r="M2" s="30" t="s">
        <v>137</v>
      </c>
      <c r="N2" s="91">
        <v>0.69791666666666663</v>
      </c>
      <c r="O2" s="91">
        <v>0.78472222222222221</v>
      </c>
      <c r="P2" s="32">
        <v>0</v>
      </c>
      <c r="Q2" s="32">
        <f>(O2-N2)*24</f>
        <v>2.0833333333333339</v>
      </c>
      <c r="R2" s="35">
        <f>P2*Q2</f>
        <v>0</v>
      </c>
      <c r="S2" s="30"/>
      <c r="T2" s="34">
        <f>SUM(L2+R2+S2)</f>
        <v>378</v>
      </c>
      <c r="U2" s="17"/>
      <c r="V2" s="17"/>
      <c r="W2" s="20"/>
    </row>
    <row r="3" spans="1:23" s="96" customFormat="1" ht="15.75" x14ac:dyDescent="0.25">
      <c r="A3" s="93"/>
      <c r="B3" s="142" t="s">
        <v>656</v>
      </c>
      <c r="C3" s="104"/>
      <c r="D3" s="120" t="s">
        <v>552</v>
      </c>
      <c r="E3" s="120"/>
      <c r="F3" s="120" t="s">
        <v>84</v>
      </c>
      <c r="G3" s="120" t="s">
        <v>578</v>
      </c>
      <c r="H3" s="93">
        <v>77690</v>
      </c>
      <c r="I3" s="93">
        <v>77698</v>
      </c>
      <c r="J3" s="105">
        <f t="shared" si="0"/>
        <v>8</v>
      </c>
      <c r="K3" s="111">
        <v>18</v>
      </c>
      <c r="L3" s="112">
        <f t="shared" si="1"/>
        <v>144</v>
      </c>
      <c r="M3" s="93" t="s">
        <v>137</v>
      </c>
      <c r="N3" s="120" t="s">
        <v>374</v>
      </c>
      <c r="O3" s="120" t="s">
        <v>375</v>
      </c>
      <c r="P3" s="111"/>
      <c r="Q3" s="111"/>
      <c r="R3" s="113"/>
      <c r="S3" s="93"/>
      <c r="T3" s="112"/>
      <c r="U3" s="93" t="s">
        <v>373</v>
      </c>
      <c r="V3" s="93"/>
    </row>
    <row r="4" spans="1:23" ht="15.75" x14ac:dyDescent="0.25">
      <c r="A4" s="30"/>
      <c r="B4" s="142" t="s">
        <v>201</v>
      </c>
      <c r="C4" s="44" t="s">
        <v>207</v>
      </c>
      <c r="D4" s="17" t="s">
        <v>379</v>
      </c>
      <c r="E4" s="17"/>
      <c r="F4" s="17" t="s">
        <v>58</v>
      </c>
      <c r="G4" s="17" t="s">
        <v>662</v>
      </c>
      <c r="H4" s="30">
        <v>77698</v>
      </c>
      <c r="I4" s="30">
        <v>77704</v>
      </c>
      <c r="J4" s="84">
        <f t="shared" ref="J4:J13" si="2">I4-H4</f>
        <v>6</v>
      </c>
      <c r="K4" s="32">
        <v>18</v>
      </c>
      <c r="L4" s="47">
        <f t="shared" ref="L4:L13" si="3">J4*K4</f>
        <v>108</v>
      </c>
      <c r="M4" s="30" t="s">
        <v>198</v>
      </c>
      <c r="N4" s="30" t="s">
        <v>199</v>
      </c>
      <c r="O4" s="30" t="s">
        <v>200</v>
      </c>
      <c r="P4" s="32">
        <v>0</v>
      </c>
      <c r="Q4" s="32">
        <v>0</v>
      </c>
      <c r="R4" s="35">
        <f t="shared" ref="R4:R5" si="4">P4*Q4</f>
        <v>0</v>
      </c>
      <c r="S4" s="30"/>
      <c r="T4" s="47">
        <f t="shared" ref="T4:T5" si="5">SUM(L4+R4)</f>
        <v>108</v>
      </c>
      <c r="U4" s="30"/>
      <c r="V4" s="30"/>
    </row>
    <row r="5" spans="1:23" ht="15.75" x14ac:dyDescent="0.25">
      <c r="A5" s="30"/>
      <c r="B5" s="142" t="s">
        <v>211</v>
      </c>
      <c r="C5" s="44" t="s">
        <v>207</v>
      </c>
      <c r="D5" s="17" t="s">
        <v>379</v>
      </c>
      <c r="E5" s="30"/>
      <c r="F5" s="17" t="s">
        <v>58</v>
      </c>
      <c r="G5" s="30" t="s">
        <v>580</v>
      </c>
      <c r="H5" s="30">
        <v>77704</v>
      </c>
      <c r="I5" s="30">
        <v>77714</v>
      </c>
      <c r="J5" s="84">
        <f t="shared" si="2"/>
        <v>10</v>
      </c>
      <c r="K5" s="32">
        <v>18</v>
      </c>
      <c r="L5" s="47">
        <f t="shared" si="3"/>
        <v>180</v>
      </c>
      <c r="M5" s="30" t="s">
        <v>137</v>
      </c>
      <c r="N5" s="30" t="s">
        <v>210</v>
      </c>
      <c r="O5" s="30" t="s">
        <v>167</v>
      </c>
      <c r="P5" s="32">
        <v>0</v>
      </c>
      <c r="Q5" s="32">
        <v>0</v>
      </c>
      <c r="R5" s="35">
        <f t="shared" si="4"/>
        <v>0</v>
      </c>
      <c r="S5" s="30"/>
      <c r="T5" s="47">
        <f t="shared" si="5"/>
        <v>180</v>
      </c>
      <c r="U5" s="30"/>
      <c r="V5" s="30"/>
    </row>
    <row r="6" spans="1:23" x14ac:dyDescent="0.25">
      <c r="A6" s="30"/>
      <c r="B6" s="142" t="s">
        <v>211</v>
      </c>
      <c r="C6" s="44" t="s">
        <v>207</v>
      </c>
      <c r="D6" s="17" t="s">
        <v>379</v>
      </c>
      <c r="E6" s="30"/>
      <c r="F6" s="17" t="s">
        <v>58</v>
      </c>
      <c r="G6" s="17" t="s">
        <v>660</v>
      </c>
      <c r="H6" s="30">
        <v>77714</v>
      </c>
      <c r="I6" s="30">
        <v>77721</v>
      </c>
      <c r="J6" s="30">
        <f t="shared" si="2"/>
        <v>7</v>
      </c>
      <c r="K6" s="30">
        <v>18</v>
      </c>
      <c r="L6" s="30">
        <f t="shared" si="3"/>
        <v>126</v>
      </c>
      <c r="M6" s="30" t="s">
        <v>137</v>
      </c>
      <c r="N6" s="30" t="s">
        <v>213</v>
      </c>
      <c r="O6" s="30" t="s">
        <v>214</v>
      </c>
      <c r="P6" s="30"/>
      <c r="Q6" s="30"/>
      <c r="R6" s="30"/>
      <c r="S6" s="30"/>
      <c r="T6" s="30"/>
      <c r="U6" s="30"/>
      <c r="V6" s="30"/>
    </row>
    <row r="7" spans="1:23" ht="15.75" x14ac:dyDescent="0.25">
      <c r="A7" s="30"/>
      <c r="B7" s="142" t="s">
        <v>212</v>
      </c>
      <c r="C7" s="44" t="s">
        <v>207</v>
      </c>
      <c r="D7" s="17" t="s">
        <v>379</v>
      </c>
      <c r="E7" s="30"/>
      <c r="F7" s="17" t="s">
        <v>58</v>
      </c>
      <c r="G7" s="17" t="s">
        <v>659</v>
      </c>
      <c r="H7" s="30">
        <v>77722</v>
      </c>
      <c r="I7" s="30">
        <v>77728</v>
      </c>
      <c r="J7" s="84">
        <f t="shared" si="2"/>
        <v>6</v>
      </c>
      <c r="K7" s="30">
        <v>18</v>
      </c>
      <c r="L7" s="30">
        <f t="shared" si="3"/>
        <v>108</v>
      </c>
      <c r="M7" s="30" t="s">
        <v>198</v>
      </c>
      <c r="N7" s="30" t="s">
        <v>215</v>
      </c>
      <c r="O7" s="30" t="s">
        <v>216</v>
      </c>
      <c r="P7" s="30"/>
      <c r="Q7" s="30"/>
      <c r="R7" s="30"/>
      <c r="S7" s="30"/>
      <c r="T7" s="30"/>
      <c r="U7" s="30"/>
      <c r="V7" s="30"/>
    </row>
    <row r="8" spans="1:23" ht="15.75" x14ac:dyDescent="0.25">
      <c r="A8" s="30"/>
      <c r="B8" s="142" t="s">
        <v>272</v>
      </c>
      <c r="C8" s="44" t="s">
        <v>207</v>
      </c>
      <c r="D8" s="17" t="s">
        <v>298</v>
      </c>
      <c r="E8" s="30"/>
      <c r="F8" s="17" t="s">
        <v>58</v>
      </c>
      <c r="G8" s="17" t="s">
        <v>273</v>
      </c>
      <c r="H8" s="30">
        <v>77741</v>
      </c>
      <c r="I8" s="30">
        <v>77801</v>
      </c>
      <c r="J8" s="84">
        <f t="shared" si="2"/>
        <v>60</v>
      </c>
      <c r="K8" s="32">
        <v>18</v>
      </c>
      <c r="L8" s="47">
        <f t="shared" si="3"/>
        <v>1080</v>
      </c>
      <c r="M8" s="30" t="s">
        <v>137</v>
      </c>
      <c r="N8" s="30" t="s">
        <v>274</v>
      </c>
      <c r="O8" s="30"/>
      <c r="P8" s="30"/>
      <c r="Q8" s="30"/>
      <c r="R8" s="30"/>
      <c r="S8" s="30"/>
      <c r="T8" s="30"/>
      <c r="U8" s="30"/>
      <c r="V8" s="30"/>
    </row>
    <row r="9" spans="1:23" ht="15.75" x14ac:dyDescent="0.25">
      <c r="A9" s="30"/>
      <c r="B9" s="142" t="s">
        <v>272</v>
      </c>
      <c r="C9" s="44" t="s">
        <v>207</v>
      </c>
      <c r="D9" s="17" t="s">
        <v>379</v>
      </c>
      <c r="E9" s="30"/>
      <c r="F9" s="17" t="s">
        <v>58</v>
      </c>
      <c r="G9" s="17" t="s">
        <v>658</v>
      </c>
      <c r="H9" s="30">
        <v>77801</v>
      </c>
      <c r="I9" s="30">
        <v>77808</v>
      </c>
      <c r="J9" s="84">
        <f t="shared" si="2"/>
        <v>7</v>
      </c>
      <c r="K9" s="32">
        <v>18</v>
      </c>
      <c r="L9" s="47">
        <f t="shared" si="3"/>
        <v>126</v>
      </c>
      <c r="M9" s="30" t="s">
        <v>137</v>
      </c>
      <c r="N9" s="30" t="s">
        <v>275</v>
      </c>
      <c r="O9" s="30" t="s">
        <v>276</v>
      </c>
      <c r="P9" s="30"/>
      <c r="Q9" s="30"/>
      <c r="R9" s="30"/>
      <c r="S9" s="30"/>
      <c r="T9" s="30"/>
      <c r="U9" s="30"/>
      <c r="V9" s="30"/>
    </row>
    <row r="10" spans="1:23" s="153" customFormat="1" ht="15.75" x14ac:dyDescent="0.25">
      <c r="A10" s="152"/>
      <c r="B10" s="154" t="s">
        <v>277</v>
      </c>
      <c r="C10" s="157" t="s">
        <v>207</v>
      </c>
      <c r="D10" s="152" t="s">
        <v>298</v>
      </c>
      <c r="E10" s="152"/>
      <c r="F10" s="152" t="s">
        <v>58</v>
      </c>
      <c r="G10" s="152" t="s">
        <v>581</v>
      </c>
      <c r="H10" s="152">
        <v>77810</v>
      </c>
      <c r="I10" s="152">
        <v>77835</v>
      </c>
      <c r="J10" s="158">
        <f t="shared" si="2"/>
        <v>25</v>
      </c>
      <c r="K10" s="159">
        <v>18</v>
      </c>
      <c r="L10" s="160">
        <f t="shared" si="3"/>
        <v>450</v>
      </c>
      <c r="M10" s="152" t="s">
        <v>278</v>
      </c>
      <c r="N10" s="152" t="s">
        <v>156</v>
      </c>
      <c r="O10" s="152" t="s">
        <v>41</v>
      </c>
      <c r="P10" s="152"/>
      <c r="Q10" s="152"/>
      <c r="R10" s="152"/>
      <c r="S10" s="152"/>
      <c r="T10" s="152"/>
      <c r="U10" s="152"/>
      <c r="V10" s="152"/>
    </row>
    <row r="11" spans="1:23" s="68" customFormat="1" x14ac:dyDescent="0.25">
      <c r="A11" s="40"/>
      <c r="B11" s="166" t="s">
        <v>279</v>
      </c>
      <c r="C11" s="70" t="s">
        <v>207</v>
      </c>
      <c r="D11" s="40" t="s">
        <v>577</v>
      </c>
      <c r="E11" s="40"/>
      <c r="F11" s="40" t="s">
        <v>551</v>
      </c>
      <c r="G11" s="40" t="s">
        <v>282</v>
      </c>
      <c r="H11" s="40">
        <v>77837</v>
      </c>
      <c r="I11" s="40">
        <v>77907</v>
      </c>
      <c r="J11" s="40">
        <f t="shared" si="2"/>
        <v>70</v>
      </c>
      <c r="K11" s="69">
        <v>18</v>
      </c>
      <c r="L11" s="167">
        <f t="shared" si="3"/>
        <v>1260</v>
      </c>
      <c r="M11" s="40" t="s">
        <v>137</v>
      </c>
      <c r="N11" s="40" t="s">
        <v>280</v>
      </c>
      <c r="O11" s="40" t="s">
        <v>281</v>
      </c>
      <c r="P11" s="40"/>
      <c r="Q11" s="40"/>
      <c r="R11" s="40"/>
      <c r="S11" s="40"/>
      <c r="T11" s="40"/>
      <c r="U11" s="40"/>
      <c r="V11" s="40"/>
    </row>
    <row r="12" spans="1:23" x14ac:dyDescent="0.25">
      <c r="A12" s="30"/>
      <c r="B12" s="142" t="s">
        <v>283</v>
      </c>
      <c r="C12" s="44" t="s">
        <v>207</v>
      </c>
      <c r="D12" s="17" t="s">
        <v>379</v>
      </c>
      <c r="E12" s="30"/>
      <c r="F12" s="17" t="s">
        <v>58</v>
      </c>
      <c r="G12" s="17" t="s">
        <v>657</v>
      </c>
      <c r="H12" s="30">
        <v>77907</v>
      </c>
      <c r="I12" s="30">
        <v>77913</v>
      </c>
      <c r="J12" s="30">
        <f t="shared" si="2"/>
        <v>6</v>
      </c>
      <c r="K12" s="32">
        <v>18</v>
      </c>
      <c r="L12" s="47">
        <f t="shared" si="3"/>
        <v>108</v>
      </c>
      <c r="M12" s="30" t="s">
        <v>137</v>
      </c>
      <c r="N12" s="30" t="s">
        <v>284</v>
      </c>
      <c r="O12" s="30" t="s">
        <v>285</v>
      </c>
      <c r="P12" s="30"/>
      <c r="Q12" s="30"/>
      <c r="R12" s="30"/>
      <c r="S12" s="30"/>
      <c r="T12" s="30"/>
      <c r="U12" s="30"/>
      <c r="V12" s="30"/>
    </row>
    <row r="13" spans="1:23" x14ac:dyDescent="0.25">
      <c r="A13" s="30"/>
      <c r="B13" s="142" t="s">
        <v>286</v>
      </c>
      <c r="C13" s="44" t="s">
        <v>207</v>
      </c>
      <c r="D13" s="17" t="s">
        <v>298</v>
      </c>
      <c r="E13" s="30"/>
      <c r="F13" s="17" t="s">
        <v>58</v>
      </c>
      <c r="G13" s="30" t="s">
        <v>287</v>
      </c>
      <c r="H13" s="30">
        <v>77913</v>
      </c>
      <c r="I13" s="30">
        <v>77916</v>
      </c>
      <c r="J13" s="30">
        <f t="shared" si="2"/>
        <v>3</v>
      </c>
      <c r="K13" s="30">
        <v>18</v>
      </c>
      <c r="L13" s="30">
        <f t="shared" si="3"/>
        <v>54</v>
      </c>
      <c r="M13" s="30" t="s">
        <v>137</v>
      </c>
      <c r="N13" s="30" t="s">
        <v>288</v>
      </c>
      <c r="O13" s="30" t="s">
        <v>289</v>
      </c>
      <c r="P13" s="30"/>
      <c r="Q13" s="30"/>
      <c r="R13" s="30"/>
      <c r="S13" s="30"/>
      <c r="T13" s="30"/>
      <c r="U13" s="30"/>
      <c r="V13" s="30"/>
    </row>
    <row r="14" spans="1:23" ht="47.25" x14ac:dyDescent="0.25">
      <c r="A14" s="41" t="s">
        <v>148</v>
      </c>
      <c r="B14" s="141" t="s">
        <v>0</v>
      </c>
      <c r="C14" s="42" t="s">
        <v>206</v>
      </c>
      <c r="D14" s="43" t="s">
        <v>1</v>
      </c>
      <c r="E14" s="43" t="s">
        <v>2</v>
      </c>
      <c r="F14" s="43" t="s">
        <v>202</v>
      </c>
      <c r="G14" s="43" t="s">
        <v>4</v>
      </c>
      <c r="H14" s="59" t="s">
        <v>5</v>
      </c>
      <c r="I14" s="60" t="s">
        <v>6</v>
      </c>
      <c r="J14" s="60" t="s">
        <v>7</v>
      </c>
      <c r="K14" s="61" t="s">
        <v>203</v>
      </c>
      <c r="L14" s="62" t="s">
        <v>204</v>
      </c>
      <c r="M14" s="53" t="s">
        <v>10</v>
      </c>
      <c r="N14" s="54" t="s">
        <v>8</v>
      </c>
      <c r="O14" s="55" t="s">
        <v>9</v>
      </c>
      <c r="P14" s="56" t="s">
        <v>11</v>
      </c>
      <c r="Q14" s="56" t="s">
        <v>205</v>
      </c>
      <c r="R14" s="57" t="s">
        <v>147</v>
      </c>
      <c r="S14" s="58" t="s">
        <v>12</v>
      </c>
      <c r="T14" s="48" t="s">
        <v>14</v>
      </c>
      <c r="U14" s="46" t="s">
        <v>149</v>
      </c>
      <c r="V14" s="46" t="s">
        <v>15</v>
      </c>
    </row>
    <row r="15" spans="1:23" x14ac:dyDescent="0.25">
      <c r="A15" s="30"/>
      <c r="B15" s="142" t="s">
        <v>290</v>
      </c>
      <c r="C15" s="30" t="s">
        <v>291</v>
      </c>
      <c r="D15" s="17" t="s">
        <v>379</v>
      </c>
      <c r="E15" s="30"/>
      <c r="F15" s="17" t="s">
        <v>58</v>
      </c>
      <c r="G15" s="30" t="s">
        <v>582</v>
      </c>
      <c r="H15" s="30">
        <v>77916</v>
      </c>
      <c r="I15" s="30">
        <v>77224</v>
      </c>
      <c r="J15" s="30">
        <v>8</v>
      </c>
      <c r="K15" s="30">
        <v>18</v>
      </c>
      <c r="L15" s="30">
        <v>144</v>
      </c>
      <c r="M15" s="30" t="s">
        <v>137</v>
      </c>
      <c r="N15" s="30" t="s">
        <v>292</v>
      </c>
      <c r="O15" s="30" t="s">
        <v>190</v>
      </c>
      <c r="P15" s="15"/>
      <c r="Q15" s="30"/>
      <c r="R15" s="30"/>
      <c r="S15" s="30"/>
      <c r="T15" s="30"/>
      <c r="U15" s="30"/>
      <c r="V15" s="30"/>
    </row>
    <row r="16" spans="1:23" s="16" customFormat="1" x14ac:dyDescent="0.25">
      <c r="A16" s="93"/>
      <c r="B16" s="144" t="s">
        <v>293</v>
      </c>
      <c r="C16" s="15" t="s">
        <v>291</v>
      </c>
      <c r="D16" s="15" t="s">
        <v>341</v>
      </c>
      <c r="E16" s="15"/>
      <c r="F16" s="15" t="s">
        <v>294</v>
      </c>
      <c r="G16" s="15" t="s">
        <v>583</v>
      </c>
      <c r="H16" s="15">
        <v>77925</v>
      </c>
      <c r="I16" s="15">
        <v>77939</v>
      </c>
      <c r="J16" s="15">
        <v>14</v>
      </c>
      <c r="K16" s="15">
        <v>18</v>
      </c>
      <c r="L16" s="15">
        <v>252</v>
      </c>
      <c r="M16" s="15" t="s">
        <v>137</v>
      </c>
      <c r="N16" s="15" t="s">
        <v>56</v>
      </c>
      <c r="O16" s="15" t="s">
        <v>295</v>
      </c>
      <c r="P16" s="15"/>
      <c r="Q16" s="15"/>
      <c r="R16" s="15"/>
      <c r="S16" s="15"/>
      <c r="T16" s="15"/>
      <c r="U16" s="40" t="s">
        <v>371</v>
      </c>
      <c r="V16" s="15"/>
    </row>
    <row r="17" spans="1:22" s="96" customFormat="1" x14ac:dyDescent="0.25">
      <c r="A17" s="93"/>
      <c r="B17" s="143" t="s">
        <v>300</v>
      </c>
      <c r="C17" s="93" t="s">
        <v>291</v>
      </c>
      <c r="D17" s="93" t="s">
        <v>579</v>
      </c>
      <c r="E17" s="93"/>
      <c r="F17" s="93" t="s">
        <v>175</v>
      </c>
      <c r="G17" s="15" t="s">
        <v>495</v>
      </c>
      <c r="H17" s="93">
        <v>77939</v>
      </c>
      <c r="I17" s="93">
        <v>77944</v>
      </c>
      <c r="J17" s="93">
        <v>5</v>
      </c>
      <c r="K17" s="93">
        <v>18</v>
      </c>
      <c r="L17" s="93">
        <v>90</v>
      </c>
      <c r="M17" s="93" t="s">
        <v>137</v>
      </c>
      <c r="N17" s="93" t="s">
        <v>301</v>
      </c>
      <c r="O17" s="93" t="s">
        <v>302</v>
      </c>
      <c r="P17" s="93"/>
      <c r="Q17" s="93"/>
      <c r="R17" s="93"/>
      <c r="S17" s="93"/>
      <c r="T17" s="93"/>
      <c r="U17" s="93"/>
      <c r="V17" s="93"/>
    </row>
    <row r="18" spans="1:22" x14ac:dyDescent="0.25">
      <c r="A18" s="30"/>
      <c r="B18" s="142" t="s">
        <v>303</v>
      </c>
      <c r="C18" s="30"/>
      <c r="D18" s="17" t="s">
        <v>379</v>
      </c>
      <c r="E18" s="30"/>
      <c r="F18" s="17" t="s">
        <v>58</v>
      </c>
      <c r="G18" s="17" t="s">
        <v>663</v>
      </c>
      <c r="H18" s="30">
        <v>77947</v>
      </c>
      <c r="I18" s="30">
        <v>77952</v>
      </c>
      <c r="J18" s="30">
        <v>5</v>
      </c>
      <c r="K18" s="30">
        <v>18</v>
      </c>
      <c r="L18" s="30">
        <v>90</v>
      </c>
      <c r="M18" s="30" t="s">
        <v>137</v>
      </c>
      <c r="N18" s="30" t="s">
        <v>304</v>
      </c>
      <c r="O18" s="30" t="s">
        <v>305</v>
      </c>
      <c r="P18" s="30"/>
      <c r="Q18" s="30"/>
      <c r="R18" s="30"/>
      <c r="S18" s="30"/>
      <c r="T18" s="30"/>
      <c r="U18" s="30"/>
      <c r="V18" s="30"/>
    </row>
    <row r="19" spans="1:22" s="16" customFormat="1" x14ac:dyDescent="0.25">
      <c r="A19" s="93"/>
      <c r="B19" s="144" t="s">
        <v>303</v>
      </c>
      <c r="C19" s="15"/>
      <c r="D19" s="15" t="s">
        <v>306</v>
      </c>
      <c r="E19" s="15"/>
      <c r="F19" s="15" t="s">
        <v>306</v>
      </c>
      <c r="G19" s="15" t="s">
        <v>591</v>
      </c>
      <c r="H19" s="15">
        <v>77952</v>
      </c>
      <c r="I19" s="15">
        <v>77979</v>
      </c>
      <c r="J19" s="15">
        <v>27</v>
      </c>
      <c r="K19" s="15">
        <v>18</v>
      </c>
      <c r="L19" s="15">
        <v>486</v>
      </c>
      <c r="M19" s="15" t="s">
        <v>137</v>
      </c>
      <c r="N19" s="15" t="s">
        <v>307</v>
      </c>
      <c r="O19" s="15" t="s">
        <v>72</v>
      </c>
      <c r="P19" s="15"/>
      <c r="Q19" s="15"/>
      <c r="R19" s="15"/>
      <c r="S19" s="15"/>
      <c r="T19" s="15"/>
      <c r="U19" s="15"/>
      <c r="V19" s="15"/>
    </row>
    <row r="20" spans="1:22" x14ac:dyDescent="0.25">
      <c r="A20" s="30"/>
      <c r="B20" s="142" t="s">
        <v>308</v>
      </c>
      <c r="C20" s="30"/>
      <c r="D20" s="17" t="s">
        <v>379</v>
      </c>
      <c r="E20" s="30"/>
      <c r="F20" s="17" t="s">
        <v>58</v>
      </c>
      <c r="G20" s="17" t="s">
        <v>664</v>
      </c>
      <c r="H20" s="30">
        <v>77979</v>
      </c>
      <c r="I20" s="30">
        <v>77985</v>
      </c>
      <c r="J20" s="30">
        <v>6</v>
      </c>
      <c r="K20" s="30">
        <v>18</v>
      </c>
      <c r="L20" s="30">
        <v>108</v>
      </c>
      <c r="M20" s="30" t="s">
        <v>137</v>
      </c>
      <c r="N20" s="30" t="s">
        <v>21</v>
      </c>
      <c r="O20" s="30" t="s">
        <v>54</v>
      </c>
      <c r="P20" s="30"/>
      <c r="Q20" s="30"/>
      <c r="R20" s="30"/>
      <c r="S20" s="30"/>
      <c r="T20" s="30"/>
      <c r="U20" s="30"/>
      <c r="V20" s="30"/>
    </row>
    <row r="21" spans="1:22" x14ac:dyDescent="0.25">
      <c r="A21" s="30"/>
      <c r="B21" s="142" t="s">
        <v>308</v>
      </c>
      <c r="C21" s="30"/>
      <c r="D21" s="17" t="s">
        <v>379</v>
      </c>
      <c r="E21" s="30"/>
      <c r="F21" s="17" t="s">
        <v>58</v>
      </c>
      <c r="G21" s="17" t="s">
        <v>665</v>
      </c>
      <c r="H21" s="30">
        <v>77985</v>
      </c>
      <c r="I21" s="30">
        <v>77991</v>
      </c>
      <c r="J21" s="30">
        <v>6</v>
      </c>
      <c r="K21" s="30">
        <v>18</v>
      </c>
      <c r="L21" s="30">
        <v>108</v>
      </c>
      <c r="M21" s="30" t="s">
        <v>137</v>
      </c>
      <c r="N21" s="30" t="s">
        <v>213</v>
      </c>
      <c r="O21" s="30"/>
      <c r="P21" s="30"/>
      <c r="Q21" s="30"/>
      <c r="R21" s="30"/>
      <c r="S21" s="30"/>
      <c r="T21" s="30"/>
      <c r="U21" s="30"/>
      <c r="V21" s="30"/>
    </row>
    <row r="22" spans="1:22" x14ac:dyDescent="0.25">
      <c r="A22" s="30"/>
      <c r="B22" s="142" t="s">
        <v>309</v>
      </c>
      <c r="C22" s="30"/>
      <c r="D22" s="17" t="s">
        <v>379</v>
      </c>
      <c r="E22" s="30"/>
      <c r="F22" s="17" t="s">
        <v>58</v>
      </c>
      <c r="G22" s="17" t="s">
        <v>644</v>
      </c>
      <c r="H22" s="30">
        <v>77993</v>
      </c>
      <c r="I22" s="30">
        <v>78010</v>
      </c>
      <c r="J22" s="30">
        <v>17</v>
      </c>
      <c r="K22" s="30">
        <v>18</v>
      </c>
      <c r="L22" s="30">
        <v>306</v>
      </c>
      <c r="M22" s="30" t="s">
        <v>137</v>
      </c>
      <c r="N22" s="30" t="s">
        <v>33</v>
      </c>
      <c r="O22" s="30" t="s">
        <v>310</v>
      </c>
      <c r="P22" s="30"/>
      <c r="Q22" s="30"/>
      <c r="R22" s="30"/>
      <c r="S22" s="30"/>
      <c r="T22" s="30"/>
      <c r="U22" s="30"/>
      <c r="V22" s="30"/>
    </row>
    <row r="23" spans="1:22" s="68" customFormat="1" x14ac:dyDescent="0.25">
      <c r="A23" s="40"/>
      <c r="B23" s="166" t="s">
        <v>311</v>
      </c>
      <c r="C23" s="40"/>
      <c r="D23" s="40" t="s">
        <v>589</v>
      </c>
      <c r="E23" s="40"/>
      <c r="F23" s="40" t="s">
        <v>594</v>
      </c>
      <c r="G23" s="40" t="s">
        <v>590</v>
      </c>
      <c r="H23" s="40">
        <v>78011</v>
      </c>
      <c r="I23" s="40">
        <v>78023</v>
      </c>
      <c r="J23" s="40">
        <v>12</v>
      </c>
      <c r="K23" s="40">
        <v>18</v>
      </c>
      <c r="L23" s="40">
        <v>216</v>
      </c>
      <c r="M23" s="40" t="s">
        <v>535</v>
      </c>
      <c r="N23" s="40" t="s">
        <v>313</v>
      </c>
      <c r="O23" s="40" t="s">
        <v>310</v>
      </c>
      <c r="P23" s="40"/>
      <c r="Q23" s="40"/>
      <c r="R23" s="40"/>
      <c r="S23" s="40"/>
      <c r="T23" s="40"/>
      <c r="U23" s="40"/>
      <c r="V23" s="40"/>
    </row>
    <row r="24" spans="1:22" s="16" customFormat="1" x14ac:dyDescent="0.25">
      <c r="A24" s="93"/>
      <c r="B24" s="144" t="s">
        <v>311</v>
      </c>
      <c r="C24" s="15"/>
      <c r="D24" s="15" t="s">
        <v>317</v>
      </c>
      <c r="E24" s="15"/>
      <c r="F24" s="15" t="s">
        <v>351</v>
      </c>
      <c r="G24" s="15" t="s">
        <v>554</v>
      </c>
      <c r="H24" s="15">
        <v>78025</v>
      </c>
      <c r="I24" s="15">
        <v>78090</v>
      </c>
      <c r="J24" s="15">
        <v>65</v>
      </c>
      <c r="K24" s="15">
        <v>18</v>
      </c>
      <c r="L24" s="15">
        <v>1170</v>
      </c>
      <c r="M24" s="152" t="s">
        <v>312</v>
      </c>
      <c r="N24" s="15" t="s">
        <v>314</v>
      </c>
      <c r="O24" s="15" t="s">
        <v>315</v>
      </c>
      <c r="P24" s="15"/>
      <c r="Q24" s="15"/>
      <c r="R24" s="15"/>
      <c r="S24" s="15"/>
      <c r="T24" s="15"/>
      <c r="U24" s="15"/>
      <c r="V24" s="15"/>
    </row>
    <row r="25" spans="1:22" s="16" customFormat="1" x14ac:dyDescent="0.25">
      <c r="A25" s="93"/>
      <c r="B25" s="144" t="s">
        <v>316</v>
      </c>
      <c r="C25" s="15"/>
      <c r="D25" s="15" t="s">
        <v>317</v>
      </c>
      <c r="E25" s="15"/>
      <c r="F25" s="15" t="s">
        <v>351</v>
      </c>
      <c r="G25" s="15" t="s">
        <v>592</v>
      </c>
      <c r="H25" s="15">
        <v>78097</v>
      </c>
      <c r="I25" s="15">
        <v>78446</v>
      </c>
      <c r="J25" s="15">
        <v>349</v>
      </c>
      <c r="K25" s="15">
        <v>18</v>
      </c>
      <c r="L25" s="15">
        <v>6282</v>
      </c>
      <c r="M25" s="152" t="s">
        <v>39</v>
      </c>
      <c r="N25" s="15" t="s">
        <v>318</v>
      </c>
      <c r="O25" s="15" t="s">
        <v>319</v>
      </c>
      <c r="P25" s="15"/>
      <c r="Q25" s="15"/>
      <c r="R25" s="15"/>
      <c r="S25" s="15"/>
      <c r="T25" s="15"/>
      <c r="U25" s="15"/>
      <c r="V25" s="15"/>
    </row>
    <row r="26" spans="1:22" s="68" customFormat="1" x14ac:dyDescent="0.25">
      <c r="A26" s="40"/>
      <c r="B26" s="166" t="s">
        <v>316</v>
      </c>
      <c r="C26" s="40"/>
      <c r="D26" s="40" t="s">
        <v>327</v>
      </c>
      <c r="E26" s="40"/>
      <c r="F26" s="40" t="s">
        <v>351</v>
      </c>
      <c r="G26" s="40" t="s">
        <v>495</v>
      </c>
      <c r="H26" s="40">
        <v>78446</v>
      </c>
      <c r="I26" s="40">
        <v>78452</v>
      </c>
      <c r="J26" s="40">
        <v>6</v>
      </c>
      <c r="K26" s="40">
        <v>18</v>
      </c>
      <c r="L26" s="40">
        <v>108</v>
      </c>
      <c r="M26" s="40" t="s">
        <v>137</v>
      </c>
      <c r="N26" s="40" t="s">
        <v>320</v>
      </c>
      <c r="O26" s="40" t="s">
        <v>321</v>
      </c>
      <c r="P26" s="40"/>
      <c r="Q26" s="40"/>
      <c r="R26" s="40"/>
      <c r="S26" s="40"/>
      <c r="T26" s="40"/>
      <c r="U26" s="40"/>
      <c r="V26" s="40"/>
    </row>
    <row r="27" spans="1:22" s="20" customFormat="1" x14ac:dyDescent="0.25">
      <c r="A27" s="17"/>
      <c r="B27" s="142" t="s">
        <v>322</v>
      </c>
      <c r="C27" s="17"/>
      <c r="D27" s="17" t="s">
        <v>391</v>
      </c>
      <c r="E27" s="17"/>
      <c r="F27" s="17" t="s">
        <v>392</v>
      </c>
      <c r="G27" s="17" t="s">
        <v>555</v>
      </c>
      <c r="H27" s="17">
        <v>78453</v>
      </c>
      <c r="I27" s="17">
        <v>78535</v>
      </c>
      <c r="J27" s="17">
        <v>82</v>
      </c>
      <c r="K27" s="17">
        <v>18</v>
      </c>
      <c r="L27" s="17">
        <v>1476</v>
      </c>
      <c r="M27" s="17" t="s">
        <v>137</v>
      </c>
      <c r="N27" s="17" t="s">
        <v>234</v>
      </c>
      <c r="O27" s="17" t="s">
        <v>65</v>
      </c>
      <c r="P27" s="17"/>
      <c r="Q27" s="17"/>
      <c r="R27" s="17"/>
      <c r="S27" s="17"/>
      <c r="T27" s="17"/>
      <c r="U27" s="17"/>
      <c r="V27" s="17"/>
    </row>
    <row r="28" spans="1:22" s="68" customFormat="1" x14ac:dyDescent="0.25">
      <c r="A28" s="40"/>
      <c r="B28" s="166" t="s">
        <v>323</v>
      </c>
      <c r="C28" s="40"/>
      <c r="D28" s="40" t="s">
        <v>298</v>
      </c>
      <c r="E28" s="40"/>
      <c r="F28" s="40" t="s">
        <v>58</v>
      </c>
      <c r="G28" s="40" t="s">
        <v>587</v>
      </c>
      <c r="H28" s="40">
        <v>78536</v>
      </c>
      <c r="I28" s="40">
        <v>78596</v>
      </c>
      <c r="J28" s="40">
        <v>60</v>
      </c>
      <c r="K28" s="40">
        <v>18</v>
      </c>
      <c r="L28" s="40">
        <v>1080</v>
      </c>
      <c r="M28" s="40" t="s">
        <v>137</v>
      </c>
      <c r="N28" s="40" t="s">
        <v>62</v>
      </c>
      <c r="O28" s="40" t="s">
        <v>328</v>
      </c>
      <c r="P28" s="40"/>
      <c r="Q28" s="40"/>
      <c r="R28" s="40"/>
      <c r="S28" s="40"/>
      <c r="T28" s="40"/>
      <c r="U28" s="40"/>
      <c r="V28" s="40"/>
    </row>
    <row r="29" spans="1:22" x14ac:dyDescent="0.25">
      <c r="A29" s="30"/>
      <c r="B29" s="142" t="s">
        <v>324</v>
      </c>
      <c r="C29" s="30"/>
      <c r="D29" s="30" t="s">
        <v>28</v>
      </c>
      <c r="E29" s="30"/>
      <c r="F29" s="30" t="s">
        <v>49</v>
      </c>
      <c r="G29" s="30" t="s">
        <v>556</v>
      </c>
      <c r="H29" s="30">
        <v>78599</v>
      </c>
      <c r="I29" s="30">
        <v>78605</v>
      </c>
      <c r="J29" s="30">
        <v>6</v>
      </c>
      <c r="K29" s="30">
        <v>18</v>
      </c>
      <c r="L29" s="30">
        <v>108</v>
      </c>
      <c r="M29" s="30" t="s">
        <v>137</v>
      </c>
      <c r="N29" s="30" t="s">
        <v>47</v>
      </c>
      <c r="O29" s="30" t="s">
        <v>329</v>
      </c>
      <c r="P29" s="30"/>
      <c r="Q29" s="30"/>
      <c r="R29" s="30"/>
      <c r="S29" s="30"/>
      <c r="T29" s="30"/>
      <c r="U29" s="30"/>
      <c r="V29" s="30"/>
    </row>
    <row r="30" spans="1:22" x14ac:dyDescent="0.25">
      <c r="A30" s="30"/>
      <c r="B30" s="142" t="s">
        <v>325</v>
      </c>
      <c r="C30" s="30"/>
      <c r="D30" s="17" t="s">
        <v>379</v>
      </c>
      <c r="E30" s="30"/>
      <c r="F30" s="17" t="s">
        <v>58</v>
      </c>
      <c r="G30" s="30" t="s">
        <v>584</v>
      </c>
      <c r="H30" s="30">
        <v>78606</v>
      </c>
      <c r="I30" s="30">
        <v>78616</v>
      </c>
      <c r="J30" s="30">
        <v>10</v>
      </c>
      <c r="K30" s="30">
        <v>18</v>
      </c>
      <c r="L30" s="30">
        <v>180</v>
      </c>
      <c r="M30" s="30" t="s">
        <v>137</v>
      </c>
      <c r="N30" s="30" t="s">
        <v>32</v>
      </c>
      <c r="O30" s="30" t="s">
        <v>330</v>
      </c>
      <c r="P30" s="30"/>
      <c r="Q30" s="30"/>
      <c r="R30" s="30"/>
      <c r="S30" s="30"/>
      <c r="T30" s="30"/>
      <c r="U30" s="30"/>
      <c r="V30" s="30"/>
    </row>
    <row r="31" spans="1:22" s="96" customFormat="1" x14ac:dyDescent="0.25">
      <c r="A31" s="93"/>
      <c r="B31" s="143" t="s">
        <v>325</v>
      </c>
      <c r="C31" s="93"/>
      <c r="D31" s="93" t="s">
        <v>553</v>
      </c>
      <c r="E31" s="93"/>
      <c r="F31" s="93" t="s">
        <v>175</v>
      </c>
      <c r="G31" s="93" t="s">
        <v>495</v>
      </c>
      <c r="H31" s="93">
        <v>78617</v>
      </c>
      <c r="I31" s="93">
        <v>78623</v>
      </c>
      <c r="J31" s="93">
        <v>6</v>
      </c>
      <c r="K31" s="93">
        <v>18</v>
      </c>
      <c r="L31" s="93">
        <v>108</v>
      </c>
      <c r="M31" s="93" t="s">
        <v>137</v>
      </c>
      <c r="N31" s="93" t="s">
        <v>331</v>
      </c>
      <c r="O31" s="93" t="s">
        <v>50</v>
      </c>
      <c r="P31" s="93" t="s">
        <v>370</v>
      </c>
      <c r="Q31" s="93"/>
      <c r="R31" s="93"/>
      <c r="S31" s="93"/>
      <c r="T31" s="93"/>
      <c r="U31" s="93"/>
      <c r="V31" s="93"/>
    </row>
    <row r="32" spans="1:22" s="96" customFormat="1" x14ac:dyDescent="0.25">
      <c r="A32" s="93"/>
      <c r="B32" s="143" t="s">
        <v>326</v>
      </c>
      <c r="C32" s="93"/>
      <c r="D32" s="93" t="s">
        <v>507</v>
      </c>
      <c r="E32" s="93"/>
      <c r="F32" s="93" t="s">
        <v>332</v>
      </c>
      <c r="G32" s="93" t="s">
        <v>585</v>
      </c>
      <c r="H32" s="93">
        <v>78623</v>
      </c>
      <c r="I32" s="93">
        <v>78658</v>
      </c>
      <c r="J32" s="93">
        <v>35</v>
      </c>
      <c r="K32" s="93">
        <v>15</v>
      </c>
      <c r="L32" s="93">
        <v>525</v>
      </c>
      <c r="M32" s="93" t="s">
        <v>333</v>
      </c>
      <c r="N32" s="93" t="s">
        <v>267</v>
      </c>
      <c r="O32" s="93" t="s">
        <v>69</v>
      </c>
      <c r="P32" s="93" t="s">
        <v>369</v>
      </c>
      <c r="Q32" s="93"/>
      <c r="R32" s="93"/>
      <c r="S32" s="93"/>
      <c r="T32" s="93"/>
      <c r="U32" s="93"/>
      <c r="V32" s="93"/>
    </row>
    <row r="33" spans="1:22" s="20" customFormat="1" x14ac:dyDescent="0.25">
      <c r="A33" s="17"/>
      <c r="B33" s="142" t="s">
        <v>342</v>
      </c>
      <c r="C33" s="17"/>
      <c r="D33" s="17" t="s">
        <v>379</v>
      </c>
      <c r="E33" s="30"/>
      <c r="F33" s="17" t="s">
        <v>58</v>
      </c>
      <c r="G33" s="17" t="s">
        <v>565</v>
      </c>
      <c r="H33" s="17">
        <v>78658</v>
      </c>
      <c r="I33" s="17">
        <v>78680</v>
      </c>
      <c r="J33" s="17">
        <v>22</v>
      </c>
      <c r="K33" s="17">
        <v>18</v>
      </c>
      <c r="L33" s="17">
        <v>396</v>
      </c>
      <c r="M33" s="17" t="s">
        <v>333</v>
      </c>
      <c r="N33" s="17" t="s">
        <v>346</v>
      </c>
      <c r="O33" s="17" t="s">
        <v>347</v>
      </c>
      <c r="P33" s="17"/>
      <c r="Q33" s="17"/>
      <c r="R33" s="17"/>
      <c r="S33" s="17"/>
      <c r="T33" s="17"/>
      <c r="U33" s="17"/>
      <c r="V33" s="17"/>
    </row>
    <row r="34" spans="1:22" x14ac:dyDescent="0.25">
      <c r="A34" s="30"/>
      <c r="B34" s="142" t="s">
        <v>345</v>
      </c>
      <c r="C34" s="30"/>
      <c r="D34" s="30" t="s">
        <v>343</v>
      </c>
      <c r="E34" s="30"/>
      <c r="F34" s="30" t="s">
        <v>343</v>
      </c>
      <c r="G34" s="30" t="s">
        <v>556</v>
      </c>
      <c r="H34" s="17">
        <v>78680</v>
      </c>
      <c r="I34" s="30">
        <v>78686</v>
      </c>
      <c r="J34" s="30">
        <v>6</v>
      </c>
      <c r="K34" s="30">
        <v>18</v>
      </c>
      <c r="L34" s="30">
        <v>108</v>
      </c>
      <c r="M34" s="17" t="s">
        <v>333</v>
      </c>
      <c r="N34" s="30" t="s">
        <v>61</v>
      </c>
      <c r="O34" s="30" t="s">
        <v>344</v>
      </c>
      <c r="P34" s="30"/>
      <c r="Q34" s="30"/>
      <c r="R34" s="30"/>
      <c r="S34" s="30"/>
      <c r="T34" s="30"/>
      <c r="U34" s="30"/>
      <c r="V34" s="30"/>
    </row>
    <row r="35" spans="1:22" s="96" customFormat="1" x14ac:dyDescent="0.25">
      <c r="A35" s="93"/>
      <c r="B35" s="143" t="s">
        <v>348</v>
      </c>
      <c r="C35" s="93"/>
      <c r="D35" s="93" t="s">
        <v>553</v>
      </c>
      <c r="E35" s="93"/>
      <c r="F35" s="93" t="s">
        <v>175</v>
      </c>
      <c r="G35" s="93" t="s">
        <v>586</v>
      </c>
      <c r="H35" s="93">
        <v>78686</v>
      </c>
      <c r="I35" s="93">
        <v>78731</v>
      </c>
      <c r="J35" s="93">
        <v>45</v>
      </c>
      <c r="K35" s="93">
        <v>18</v>
      </c>
      <c r="L35" s="93">
        <v>818</v>
      </c>
      <c r="M35" s="93" t="s">
        <v>333</v>
      </c>
      <c r="N35" s="93" t="s">
        <v>349</v>
      </c>
      <c r="O35" s="93" t="s">
        <v>350</v>
      </c>
      <c r="P35" s="93" t="s">
        <v>370</v>
      </c>
      <c r="Q35" s="93"/>
      <c r="R35" s="93"/>
      <c r="S35" s="93"/>
      <c r="T35" s="93"/>
      <c r="U35" s="93"/>
      <c r="V35" s="93"/>
    </row>
    <row r="36" spans="1:22" x14ac:dyDescent="0.25">
      <c r="A36" s="30"/>
      <c r="B36" s="142" t="s">
        <v>348</v>
      </c>
      <c r="C36" s="30"/>
      <c r="D36" s="17" t="s">
        <v>379</v>
      </c>
      <c r="E36" s="30"/>
      <c r="F36" s="17" t="s">
        <v>58</v>
      </c>
      <c r="G36" s="17" t="s">
        <v>643</v>
      </c>
      <c r="H36" s="30">
        <v>78732</v>
      </c>
      <c r="I36" s="30">
        <v>78737</v>
      </c>
      <c r="J36" s="30">
        <v>5</v>
      </c>
      <c r="K36" s="30">
        <v>18</v>
      </c>
      <c r="L36" s="30">
        <v>90</v>
      </c>
      <c r="M36" s="17" t="s">
        <v>333</v>
      </c>
      <c r="N36" s="30" t="s">
        <v>214</v>
      </c>
      <c r="O36" s="30" t="s">
        <v>34</v>
      </c>
      <c r="P36" s="30"/>
      <c r="Q36" s="30"/>
      <c r="R36" s="116"/>
      <c r="S36" s="30"/>
      <c r="T36" s="30"/>
      <c r="U36" s="30"/>
      <c r="V36" s="30"/>
    </row>
    <row r="37" spans="1:22" x14ac:dyDescent="0.25">
      <c r="A37" s="30"/>
      <c r="B37" s="142" t="s">
        <v>348</v>
      </c>
      <c r="C37" s="30"/>
      <c r="D37" s="17" t="s">
        <v>379</v>
      </c>
      <c r="E37" s="30"/>
      <c r="F37" s="17" t="s">
        <v>58</v>
      </c>
      <c r="G37" s="30" t="s">
        <v>642</v>
      </c>
      <c r="H37" s="30">
        <v>78737</v>
      </c>
      <c r="I37" s="30">
        <v>78768</v>
      </c>
      <c r="J37" s="30">
        <v>31</v>
      </c>
      <c r="K37" s="30">
        <v>18</v>
      </c>
      <c r="L37" s="30">
        <v>558</v>
      </c>
      <c r="M37" s="17" t="s">
        <v>333</v>
      </c>
      <c r="N37" s="30" t="s">
        <v>72</v>
      </c>
      <c r="O37" s="30" t="s">
        <v>281</v>
      </c>
      <c r="P37" s="30"/>
      <c r="Q37" s="30"/>
      <c r="R37" s="30"/>
      <c r="S37" s="30"/>
      <c r="T37" s="30"/>
      <c r="U37" s="30"/>
      <c r="V37" s="30"/>
    </row>
    <row r="38" spans="1:22" s="16" customFormat="1" x14ac:dyDescent="0.25">
      <c r="A38" s="93"/>
      <c r="B38" s="144" t="s">
        <v>354</v>
      </c>
      <c r="C38" s="15"/>
      <c r="D38" s="15" t="s">
        <v>317</v>
      </c>
      <c r="E38" s="15"/>
      <c r="F38" s="15" t="s">
        <v>351</v>
      </c>
      <c r="G38" s="15" t="s">
        <v>564</v>
      </c>
      <c r="H38" s="15">
        <v>78769</v>
      </c>
      <c r="I38" s="15">
        <v>78806</v>
      </c>
      <c r="J38" s="15">
        <v>37</v>
      </c>
      <c r="K38" s="15">
        <v>18</v>
      </c>
      <c r="L38" s="15">
        <v>666</v>
      </c>
      <c r="M38" s="15" t="s">
        <v>333</v>
      </c>
      <c r="N38" s="15" t="s">
        <v>352</v>
      </c>
      <c r="O38" s="15" t="s">
        <v>353</v>
      </c>
      <c r="P38" s="15"/>
      <c r="Q38" s="15"/>
      <c r="R38" s="15"/>
      <c r="S38" s="15"/>
      <c r="T38" s="15"/>
      <c r="U38" s="15"/>
      <c r="V38" s="15"/>
    </row>
    <row r="39" spans="1:22" x14ac:dyDescent="0.25">
      <c r="A39" s="30"/>
      <c r="B39" s="142" t="s">
        <v>354</v>
      </c>
      <c r="C39" s="30"/>
      <c r="D39" s="17" t="s">
        <v>379</v>
      </c>
      <c r="E39" s="30"/>
      <c r="F39" s="17" t="s">
        <v>58</v>
      </c>
      <c r="G39" s="30" t="s">
        <v>641</v>
      </c>
      <c r="H39" s="30">
        <v>78810</v>
      </c>
      <c r="I39" s="30">
        <v>78825</v>
      </c>
      <c r="J39" s="30">
        <v>15</v>
      </c>
      <c r="K39" s="30">
        <v>18</v>
      </c>
      <c r="L39" s="30">
        <v>270</v>
      </c>
      <c r="M39" s="17" t="s">
        <v>333</v>
      </c>
      <c r="N39" s="30" t="s">
        <v>270</v>
      </c>
      <c r="O39" s="30" t="s">
        <v>355</v>
      </c>
      <c r="P39" s="30"/>
      <c r="Q39" s="30"/>
      <c r="R39" s="30"/>
      <c r="S39" s="30"/>
      <c r="T39" s="30"/>
      <c r="U39" s="30"/>
      <c r="V39" s="30"/>
    </row>
    <row r="40" spans="1:22" x14ac:dyDescent="0.25">
      <c r="A40" s="30"/>
      <c r="B40" s="142" t="s">
        <v>356</v>
      </c>
      <c r="C40" s="30"/>
      <c r="D40" s="17" t="s">
        <v>379</v>
      </c>
      <c r="E40" s="117"/>
      <c r="F40" s="118" t="s">
        <v>58</v>
      </c>
      <c r="G40" s="30" t="s">
        <v>562</v>
      </c>
      <c r="H40" s="30">
        <v>78825</v>
      </c>
      <c r="I40" s="30">
        <v>78847</v>
      </c>
      <c r="J40" s="30">
        <v>22</v>
      </c>
      <c r="K40" s="30">
        <v>18</v>
      </c>
      <c r="L40" s="30">
        <v>396</v>
      </c>
      <c r="M40" s="17" t="s">
        <v>333</v>
      </c>
      <c r="N40" s="30" t="s">
        <v>357</v>
      </c>
      <c r="O40" s="30" t="s">
        <v>358</v>
      </c>
      <c r="P40" s="30"/>
      <c r="Q40" s="30"/>
      <c r="R40" s="30"/>
      <c r="S40" s="30"/>
      <c r="T40" s="30"/>
      <c r="U40" s="30"/>
      <c r="V40" s="30"/>
    </row>
    <row r="41" spans="1:22" ht="47.25" x14ac:dyDescent="0.25">
      <c r="A41" s="41" t="s">
        <v>148</v>
      </c>
      <c r="B41" s="141" t="s">
        <v>0</v>
      </c>
      <c r="C41" s="42" t="s">
        <v>206</v>
      </c>
      <c r="D41" s="43" t="s">
        <v>1</v>
      </c>
      <c r="E41" s="43" t="s">
        <v>2</v>
      </c>
      <c r="F41" s="43" t="s">
        <v>202</v>
      </c>
      <c r="G41" s="43" t="s">
        <v>4</v>
      </c>
      <c r="H41" s="59" t="s">
        <v>5</v>
      </c>
      <c r="I41" s="60" t="s">
        <v>6</v>
      </c>
      <c r="J41" s="60" t="s">
        <v>7</v>
      </c>
      <c r="K41" s="61" t="s">
        <v>203</v>
      </c>
      <c r="L41" s="62" t="s">
        <v>204</v>
      </c>
      <c r="M41" s="53" t="s">
        <v>10</v>
      </c>
      <c r="N41" s="54" t="s">
        <v>8</v>
      </c>
      <c r="O41" s="55" t="s">
        <v>9</v>
      </c>
      <c r="P41" s="56" t="s">
        <v>11</v>
      </c>
      <c r="Q41" s="56" t="s">
        <v>205</v>
      </c>
      <c r="R41" s="57" t="s">
        <v>147</v>
      </c>
      <c r="S41" s="58" t="s">
        <v>12</v>
      </c>
      <c r="T41" s="48" t="s">
        <v>14</v>
      </c>
      <c r="U41" s="46" t="s">
        <v>149</v>
      </c>
      <c r="V41" s="46" t="s">
        <v>15</v>
      </c>
    </row>
    <row r="42" spans="1:22" s="16" customFormat="1" x14ac:dyDescent="0.25">
      <c r="A42" s="93"/>
      <c r="B42" s="144" t="s">
        <v>359</v>
      </c>
      <c r="C42" s="15" t="s">
        <v>361</v>
      </c>
      <c r="D42" s="15" t="s">
        <v>360</v>
      </c>
      <c r="E42" s="138"/>
      <c r="F42" s="138" t="s">
        <v>362</v>
      </c>
      <c r="G42" s="15" t="s">
        <v>588</v>
      </c>
      <c r="H42" s="15">
        <v>78847</v>
      </c>
      <c r="I42" s="15">
        <v>78868</v>
      </c>
      <c r="J42" s="15">
        <f t="shared" ref="J42:J64" si="6">I42-H42</f>
        <v>21</v>
      </c>
      <c r="K42" s="15">
        <v>18</v>
      </c>
      <c r="L42" s="15">
        <f t="shared" ref="L42:L80" si="7">J42*K42</f>
        <v>378</v>
      </c>
      <c r="M42" s="15" t="s">
        <v>363</v>
      </c>
      <c r="N42" s="15" t="s">
        <v>53</v>
      </c>
      <c r="O42" s="15" t="s">
        <v>56</v>
      </c>
      <c r="P42" s="15"/>
      <c r="Q42" s="15"/>
      <c r="R42" s="15"/>
      <c r="S42" s="15"/>
      <c r="T42" s="15"/>
      <c r="U42" s="15"/>
      <c r="V42" s="15"/>
    </row>
    <row r="43" spans="1:22" s="153" customFormat="1" x14ac:dyDescent="0.25">
      <c r="A43" s="152"/>
      <c r="B43" s="154" t="s">
        <v>364</v>
      </c>
      <c r="C43" s="152"/>
      <c r="D43" s="152" t="s">
        <v>299</v>
      </c>
      <c r="E43" s="156"/>
      <c r="F43" s="156" t="s">
        <v>390</v>
      </c>
      <c r="G43" s="152" t="s">
        <v>561</v>
      </c>
      <c r="H43" s="152">
        <v>78847</v>
      </c>
      <c r="I43" s="152">
        <v>78929</v>
      </c>
      <c r="J43" s="152">
        <f t="shared" si="6"/>
        <v>82</v>
      </c>
      <c r="K43" s="152">
        <v>18</v>
      </c>
      <c r="L43" s="152">
        <f t="shared" si="7"/>
        <v>1476</v>
      </c>
      <c r="M43" s="156" t="s">
        <v>365</v>
      </c>
      <c r="N43" s="152" t="s">
        <v>267</v>
      </c>
      <c r="O43" s="152" t="s">
        <v>366</v>
      </c>
      <c r="P43" s="152"/>
      <c r="Q43" s="152"/>
      <c r="R43" s="152"/>
      <c r="S43" s="152"/>
      <c r="T43" s="152"/>
      <c r="U43" s="152"/>
    </row>
    <row r="44" spans="1:22" s="16" customFormat="1" x14ac:dyDescent="0.25">
      <c r="A44" s="93"/>
      <c r="B44" s="144" t="s">
        <v>364</v>
      </c>
      <c r="C44" s="15"/>
      <c r="D44" s="15" t="s">
        <v>238</v>
      </c>
      <c r="E44" s="138"/>
      <c r="F44" s="138" t="s">
        <v>332</v>
      </c>
      <c r="G44" s="15" t="s">
        <v>563</v>
      </c>
      <c r="H44" s="15">
        <v>78929</v>
      </c>
      <c r="I44" s="15">
        <v>78961</v>
      </c>
      <c r="J44" s="15">
        <f t="shared" si="6"/>
        <v>32</v>
      </c>
      <c r="K44" s="15">
        <v>18</v>
      </c>
      <c r="L44" s="15">
        <f t="shared" si="7"/>
        <v>576</v>
      </c>
      <c r="M44" s="156" t="s">
        <v>365</v>
      </c>
      <c r="N44" s="15" t="s">
        <v>367</v>
      </c>
      <c r="O44" s="15"/>
      <c r="P44" s="15"/>
      <c r="Q44" s="15"/>
      <c r="R44" s="15"/>
      <c r="S44" s="15"/>
      <c r="T44" s="15"/>
      <c r="U44" s="15"/>
    </row>
    <row r="45" spans="1:22" x14ac:dyDescent="0.25">
      <c r="A45" s="121"/>
      <c r="B45" s="145" t="s">
        <v>376</v>
      </c>
      <c r="C45" s="121"/>
      <c r="D45" s="17" t="s">
        <v>238</v>
      </c>
      <c r="E45" s="121"/>
      <c r="F45" s="121" t="s">
        <v>343</v>
      </c>
      <c r="G45" s="121" t="s">
        <v>557</v>
      </c>
      <c r="H45" s="121">
        <v>78961</v>
      </c>
      <c r="I45" s="121">
        <v>78968</v>
      </c>
      <c r="J45" s="121">
        <f t="shared" si="6"/>
        <v>7</v>
      </c>
      <c r="K45" s="121">
        <v>18</v>
      </c>
      <c r="L45" s="121">
        <f t="shared" si="7"/>
        <v>126</v>
      </c>
      <c r="M45" s="121" t="s">
        <v>28</v>
      </c>
      <c r="N45" s="121" t="s">
        <v>42</v>
      </c>
      <c r="O45" s="121" t="s">
        <v>377</v>
      </c>
      <c r="P45" s="123"/>
      <c r="Q45" s="123"/>
      <c r="R45" s="124">
        <f t="shared" ref="R45" si="8">P45*Q45</f>
        <v>0</v>
      </c>
      <c r="S45" s="121"/>
      <c r="T45" s="121"/>
      <c r="U45" s="125">
        <f t="shared" ref="U45" si="9">SUM(L45+R45)</f>
        <v>126</v>
      </c>
    </row>
    <row r="46" spans="1:22" s="153" customFormat="1" x14ac:dyDescent="0.25">
      <c r="A46" s="152"/>
      <c r="B46" s="154" t="s">
        <v>378</v>
      </c>
      <c r="C46" s="152"/>
      <c r="D46" s="152" t="s">
        <v>379</v>
      </c>
      <c r="E46" s="152"/>
      <c r="F46" s="152" t="s">
        <v>58</v>
      </c>
      <c r="G46" s="152" t="s">
        <v>640</v>
      </c>
      <c r="H46" s="152">
        <v>78969</v>
      </c>
      <c r="I46" s="152">
        <v>78974</v>
      </c>
      <c r="J46" s="152">
        <f t="shared" si="6"/>
        <v>5</v>
      </c>
      <c r="K46" s="152">
        <v>18</v>
      </c>
      <c r="L46" s="152">
        <f t="shared" si="7"/>
        <v>90</v>
      </c>
      <c r="M46" s="152" t="s">
        <v>381</v>
      </c>
      <c r="N46" s="152" t="s">
        <v>213</v>
      </c>
      <c r="O46" s="152" t="s">
        <v>33</v>
      </c>
      <c r="P46" s="152"/>
      <c r="Q46" s="152"/>
      <c r="R46" s="152"/>
      <c r="S46" s="152"/>
      <c r="T46" s="152"/>
      <c r="U46" s="152"/>
      <c r="V46" s="152"/>
    </row>
    <row r="47" spans="1:22" x14ac:dyDescent="0.25">
      <c r="A47" s="30"/>
      <c r="B47" s="142" t="s">
        <v>378</v>
      </c>
      <c r="C47" s="121"/>
      <c r="D47" s="121" t="s">
        <v>28</v>
      </c>
      <c r="E47" s="121"/>
      <c r="F47" s="121" t="s">
        <v>343</v>
      </c>
      <c r="G47" s="30" t="s">
        <v>558</v>
      </c>
      <c r="H47" s="30">
        <v>78974</v>
      </c>
      <c r="I47" s="30">
        <v>78980</v>
      </c>
      <c r="J47" s="30">
        <f t="shared" si="6"/>
        <v>6</v>
      </c>
      <c r="K47" s="30">
        <v>18</v>
      </c>
      <c r="L47" s="30">
        <f t="shared" si="7"/>
        <v>108</v>
      </c>
      <c r="M47" s="121" t="s">
        <v>28</v>
      </c>
      <c r="N47" s="30" t="s">
        <v>382</v>
      </c>
      <c r="O47" s="30" t="s">
        <v>247</v>
      </c>
      <c r="P47" s="30"/>
      <c r="Q47" s="30"/>
      <c r="R47" s="30"/>
      <c r="S47" s="30"/>
      <c r="T47" s="30"/>
      <c r="U47" s="30"/>
      <c r="V47" s="30"/>
    </row>
    <row r="48" spans="1:22" x14ac:dyDescent="0.25">
      <c r="A48" s="30"/>
      <c r="B48" s="142" t="s">
        <v>378</v>
      </c>
      <c r="C48" s="30"/>
      <c r="D48" s="30" t="s">
        <v>383</v>
      </c>
      <c r="E48" s="30"/>
      <c r="F48" s="17" t="s">
        <v>58</v>
      </c>
      <c r="G48" s="30" t="s">
        <v>559</v>
      </c>
      <c r="H48" s="30">
        <v>78980</v>
      </c>
      <c r="I48" s="30">
        <v>78982</v>
      </c>
      <c r="J48" s="30">
        <f t="shared" si="6"/>
        <v>2</v>
      </c>
      <c r="K48" s="30">
        <v>18</v>
      </c>
      <c r="L48" s="30">
        <f t="shared" si="7"/>
        <v>36</v>
      </c>
      <c r="M48" s="30" t="s">
        <v>384</v>
      </c>
      <c r="N48" s="30" t="s">
        <v>385</v>
      </c>
      <c r="O48" s="30" t="s">
        <v>386</v>
      </c>
      <c r="P48" s="30"/>
      <c r="Q48" s="30"/>
      <c r="R48" s="30"/>
      <c r="S48" s="30"/>
      <c r="T48" s="30"/>
      <c r="U48" s="30"/>
      <c r="V48" s="30"/>
    </row>
    <row r="49" spans="1:22" s="153" customFormat="1" x14ac:dyDescent="0.25">
      <c r="A49" s="152"/>
      <c r="B49" s="154" t="s">
        <v>387</v>
      </c>
      <c r="C49" s="152"/>
      <c r="D49" s="152" t="s">
        <v>379</v>
      </c>
      <c r="E49" s="152"/>
      <c r="F49" s="152" t="s">
        <v>58</v>
      </c>
      <c r="G49" s="152" t="s">
        <v>639</v>
      </c>
      <c r="H49" s="152">
        <v>78983</v>
      </c>
      <c r="I49" s="152">
        <v>78989</v>
      </c>
      <c r="J49" s="152">
        <f t="shared" si="6"/>
        <v>6</v>
      </c>
      <c r="K49" s="152">
        <v>18</v>
      </c>
      <c r="L49" s="152">
        <f t="shared" si="7"/>
        <v>108</v>
      </c>
      <c r="M49" s="152" t="s">
        <v>312</v>
      </c>
      <c r="N49" s="155" t="s">
        <v>388</v>
      </c>
      <c r="O49" s="152" t="s">
        <v>33</v>
      </c>
      <c r="P49" s="152"/>
      <c r="Q49" s="152"/>
      <c r="R49" s="152"/>
      <c r="S49" s="152"/>
      <c r="T49" s="152"/>
      <c r="U49" s="152"/>
      <c r="V49" s="152"/>
    </row>
    <row r="50" spans="1:22" s="153" customFormat="1" x14ac:dyDescent="0.25">
      <c r="A50" s="152"/>
      <c r="B50" s="154" t="s">
        <v>387</v>
      </c>
      <c r="C50" s="152"/>
      <c r="D50" s="152" t="s">
        <v>379</v>
      </c>
      <c r="E50" s="152"/>
      <c r="F50" s="152" t="s">
        <v>58</v>
      </c>
      <c r="G50" s="152" t="s">
        <v>638</v>
      </c>
      <c r="H50" s="152">
        <v>78989</v>
      </c>
      <c r="I50" s="152">
        <v>79005</v>
      </c>
      <c r="J50" s="152">
        <f t="shared" si="6"/>
        <v>16</v>
      </c>
      <c r="K50" s="152">
        <v>18</v>
      </c>
      <c r="L50" s="152">
        <f t="shared" si="7"/>
        <v>288</v>
      </c>
      <c r="M50" s="152" t="s">
        <v>312</v>
      </c>
      <c r="N50" s="152" t="s">
        <v>72</v>
      </c>
      <c r="O50" s="152" t="s">
        <v>389</v>
      </c>
      <c r="P50" s="152"/>
      <c r="Q50" s="152"/>
      <c r="R50" s="152"/>
      <c r="S50" s="152"/>
      <c r="T50" s="152"/>
      <c r="U50" s="152"/>
      <c r="V50" s="152"/>
    </row>
    <row r="51" spans="1:22" x14ac:dyDescent="0.25">
      <c r="A51" s="30"/>
      <c r="B51" s="142" t="s">
        <v>393</v>
      </c>
      <c r="C51" s="30"/>
      <c r="D51" s="17" t="s">
        <v>379</v>
      </c>
      <c r="E51" s="30"/>
      <c r="F51" s="17" t="s">
        <v>58</v>
      </c>
      <c r="G51" s="30" t="s">
        <v>560</v>
      </c>
      <c r="H51" s="30">
        <v>79005</v>
      </c>
      <c r="I51" s="30">
        <v>79006</v>
      </c>
      <c r="J51" s="30">
        <f t="shared" si="6"/>
        <v>1</v>
      </c>
      <c r="K51" s="30">
        <v>18</v>
      </c>
      <c r="L51" s="30">
        <f t="shared" si="7"/>
        <v>18</v>
      </c>
      <c r="M51" s="121" t="s">
        <v>28</v>
      </c>
      <c r="N51" s="30" t="s">
        <v>331</v>
      </c>
      <c r="O51" s="30" t="s">
        <v>33</v>
      </c>
      <c r="P51" s="30"/>
      <c r="Q51" s="30"/>
      <c r="R51" s="30"/>
      <c r="S51" s="30"/>
      <c r="T51" s="30"/>
      <c r="U51" s="30"/>
      <c r="V51" s="30"/>
    </row>
    <row r="52" spans="1:22" x14ac:dyDescent="0.25">
      <c r="A52" s="30"/>
      <c r="B52" s="142" t="s">
        <v>399</v>
      </c>
      <c r="C52" s="30"/>
      <c r="D52" s="17" t="s">
        <v>400</v>
      </c>
      <c r="E52" s="30"/>
      <c r="F52" s="17" t="s">
        <v>58</v>
      </c>
      <c r="G52" s="30" t="s">
        <v>401</v>
      </c>
      <c r="H52" s="30">
        <v>79006</v>
      </c>
      <c r="I52" s="30">
        <v>79029</v>
      </c>
      <c r="J52" s="30">
        <f t="shared" si="6"/>
        <v>23</v>
      </c>
      <c r="K52" s="30">
        <v>18</v>
      </c>
      <c r="L52" s="30">
        <f t="shared" si="7"/>
        <v>414</v>
      </c>
      <c r="M52" s="30" t="s">
        <v>137</v>
      </c>
      <c r="N52" s="30" t="s">
        <v>210</v>
      </c>
      <c r="O52" s="30" t="s">
        <v>73</v>
      </c>
      <c r="P52" s="30" t="s">
        <v>402</v>
      </c>
      <c r="Q52" s="30"/>
      <c r="R52" s="30"/>
      <c r="S52" s="30"/>
      <c r="T52" s="30"/>
      <c r="U52" s="30"/>
      <c r="V52" s="30"/>
    </row>
    <row r="53" spans="1:22" s="16" customFormat="1" x14ac:dyDescent="0.25">
      <c r="A53" s="93"/>
      <c r="B53" s="144" t="s">
        <v>399</v>
      </c>
      <c r="C53" s="15"/>
      <c r="D53" s="15" t="s">
        <v>403</v>
      </c>
      <c r="E53" s="15"/>
      <c r="F53" s="15" t="s">
        <v>404</v>
      </c>
      <c r="G53" s="15" t="s">
        <v>566</v>
      </c>
      <c r="H53" s="15">
        <v>79029</v>
      </c>
      <c r="I53" s="15">
        <v>79036</v>
      </c>
      <c r="J53" s="15">
        <f t="shared" si="6"/>
        <v>7</v>
      </c>
      <c r="K53" s="15">
        <v>18</v>
      </c>
      <c r="L53" s="15">
        <f t="shared" si="7"/>
        <v>126</v>
      </c>
      <c r="M53" s="15" t="s">
        <v>137</v>
      </c>
      <c r="N53" s="15" t="s">
        <v>405</v>
      </c>
      <c r="O53" s="15" t="s">
        <v>33</v>
      </c>
      <c r="P53" s="15"/>
      <c r="Q53" s="15"/>
      <c r="R53" s="15"/>
      <c r="S53" s="15"/>
      <c r="T53" s="15"/>
      <c r="U53" s="15"/>
      <c r="V53" s="15"/>
    </row>
    <row r="54" spans="1:22" x14ac:dyDescent="0.25">
      <c r="A54" s="30"/>
      <c r="B54" s="142" t="s">
        <v>399</v>
      </c>
      <c r="C54" s="30"/>
      <c r="D54" s="30" t="s">
        <v>379</v>
      </c>
      <c r="E54" s="30"/>
      <c r="F54" s="17" t="s">
        <v>58</v>
      </c>
      <c r="G54" s="30" t="s">
        <v>619</v>
      </c>
      <c r="H54" s="30">
        <v>79036</v>
      </c>
      <c r="I54" s="30">
        <v>79055</v>
      </c>
      <c r="J54" s="30">
        <f t="shared" si="6"/>
        <v>19</v>
      </c>
      <c r="K54" s="17">
        <v>18</v>
      </c>
      <c r="L54" s="17">
        <f t="shared" si="7"/>
        <v>342</v>
      </c>
      <c r="M54" s="30" t="s">
        <v>137</v>
      </c>
      <c r="N54" s="30" t="s">
        <v>389</v>
      </c>
      <c r="O54" s="30" t="s">
        <v>281</v>
      </c>
      <c r="P54" s="30"/>
      <c r="Q54" s="30"/>
      <c r="R54" s="30"/>
      <c r="S54" s="30"/>
      <c r="T54" s="30"/>
      <c r="U54" s="30"/>
      <c r="V54" s="30"/>
    </row>
    <row r="55" spans="1:22" x14ac:dyDescent="0.25">
      <c r="A55" s="30"/>
      <c r="B55" s="142" t="s">
        <v>406</v>
      </c>
      <c r="C55" s="30"/>
      <c r="D55" s="30" t="s">
        <v>379</v>
      </c>
      <c r="E55" s="30"/>
      <c r="F55" s="17" t="s">
        <v>58</v>
      </c>
      <c r="G55" s="30" t="s">
        <v>394</v>
      </c>
      <c r="H55" s="30">
        <v>79055</v>
      </c>
      <c r="I55" s="30">
        <v>79056</v>
      </c>
      <c r="J55" s="30">
        <f t="shared" si="6"/>
        <v>1</v>
      </c>
      <c r="K55" s="17">
        <v>18</v>
      </c>
      <c r="L55" s="17">
        <f t="shared" si="7"/>
        <v>18</v>
      </c>
      <c r="M55" s="30" t="s">
        <v>384</v>
      </c>
      <c r="N55" s="30" t="s">
        <v>330</v>
      </c>
      <c r="O55" s="30" t="s">
        <v>407</v>
      </c>
      <c r="P55" s="30"/>
      <c r="Q55" s="30"/>
      <c r="R55" s="30"/>
      <c r="S55" s="30"/>
      <c r="T55" s="30"/>
      <c r="U55" s="30"/>
      <c r="V55" s="30"/>
    </row>
    <row r="56" spans="1:22" x14ac:dyDescent="0.25">
      <c r="A56" s="30"/>
      <c r="B56" s="142" t="s">
        <v>406</v>
      </c>
      <c r="C56" s="30"/>
      <c r="D56" s="30" t="s">
        <v>379</v>
      </c>
      <c r="E56" s="30"/>
      <c r="F56" s="17" t="s">
        <v>58</v>
      </c>
      <c r="G56" s="30" t="s">
        <v>633</v>
      </c>
      <c r="H56" s="30">
        <v>79056</v>
      </c>
      <c r="I56" s="30">
        <v>79062</v>
      </c>
      <c r="J56" s="30">
        <f t="shared" si="6"/>
        <v>6</v>
      </c>
      <c r="K56" s="17">
        <v>18</v>
      </c>
      <c r="L56" s="17">
        <f t="shared" si="7"/>
        <v>108</v>
      </c>
      <c r="M56" s="30" t="s">
        <v>137</v>
      </c>
      <c r="N56" s="30" t="s">
        <v>224</v>
      </c>
      <c r="O56" s="30" t="s">
        <v>80</v>
      </c>
      <c r="P56" s="30"/>
      <c r="Q56" s="30"/>
      <c r="R56" s="30"/>
      <c r="S56" s="30"/>
      <c r="T56" s="30"/>
      <c r="U56" s="30"/>
      <c r="V56" s="30"/>
    </row>
    <row r="57" spans="1:22" x14ac:dyDescent="0.25">
      <c r="A57" s="30"/>
      <c r="B57" s="142" t="s">
        <v>406</v>
      </c>
      <c r="C57" s="30"/>
      <c r="D57" s="15" t="s">
        <v>379</v>
      </c>
      <c r="E57" s="30"/>
      <c r="F57" s="17" t="s">
        <v>58</v>
      </c>
      <c r="G57" s="30" t="s">
        <v>576</v>
      </c>
      <c r="H57" s="30">
        <v>79062</v>
      </c>
      <c r="I57" s="30">
        <v>79093</v>
      </c>
      <c r="J57" s="30">
        <f t="shared" si="6"/>
        <v>31</v>
      </c>
      <c r="K57" s="17">
        <v>18</v>
      </c>
      <c r="L57" s="17">
        <f t="shared" si="7"/>
        <v>558</v>
      </c>
      <c r="M57" s="30" t="s">
        <v>137</v>
      </c>
      <c r="N57" s="30" t="s">
        <v>408</v>
      </c>
      <c r="O57" s="30" t="s">
        <v>409</v>
      </c>
      <c r="P57" s="30"/>
      <c r="Q57" s="30"/>
      <c r="R57" s="30"/>
      <c r="S57" s="30"/>
      <c r="T57" s="30"/>
      <c r="U57" s="30"/>
      <c r="V57" s="30"/>
    </row>
    <row r="58" spans="1:22" x14ac:dyDescent="0.25">
      <c r="A58" s="30"/>
      <c r="B58" s="142" t="s">
        <v>415</v>
      </c>
      <c r="C58" s="30"/>
      <c r="D58" s="30" t="s">
        <v>379</v>
      </c>
      <c r="E58" s="30"/>
      <c r="F58" s="17" t="s">
        <v>58</v>
      </c>
      <c r="G58" s="30" t="s">
        <v>636</v>
      </c>
      <c r="H58" s="30">
        <v>79093</v>
      </c>
      <c r="I58" s="30">
        <v>79100</v>
      </c>
      <c r="J58" s="30">
        <f t="shared" si="6"/>
        <v>7</v>
      </c>
      <c r="K58" s="30">
        <v>18</v>
      </c>
      <c r="L58" s="30">
        <f t="shared" si="7"/>
        <v>126</v>
      </c>
      <c r="M58" s="30" t="s">
        <v>137</v>
      </c>
      <c r="N58" s="91" t="s">
        <v>413</v>
      </c>
      <c r="O58" s="30" t="s">
        <v>414</v>
      </c>
      <c r="P58" s="30"/>
      <c r="Q58" s="30"/>
      <c r="R58" s="30"/>
      <c r="S58" s="30"/>
      <c r="T58" s="30"/>
      <c r="U58" s="30"/>
      <c r="V58" s="30"/>
    </row>
    <row r="59" spans="1:22" x14ac:dyDescent="0.25">
      <c r="A59" s="30"/>
      <c r="B59" s="142" t="s">
        <v>416</v>
      </c>
      <c r="C59" s="30"/>
      <c r="D59" s="30" t="s">
        <v>379</v>
      </c>
      <c r="E59" s="30"/>
      <c r="F59" s="17" t="s">
        <v>58</v>
      </c>
      <c r="G59" s="30" t="s">
        <v>635</v>
      </c>
      <c r="H59" s="30">
        <v>79100</v>
      </c>
      <c r="I59" s="30">
        <v>79139</v>
      </c>
      <c r="J59" s="30">
        <f t="shared" si="6"/>
        <v>39</v>
      </c>
      <c r="K59" s="30">
        <v>18</v>
      </c>
      <c r="L59" s="30">
        <f t="shared" si="7"/>
        <v>702</v>
      </c>
      <c r="M59" s="30" t="s">
        <v>137</v>
      </c>
      <c r="N59" s="30" t="s">
        <v>417</v>
      </c>
      <c r="O59" s="30" t="s">
        <v>34</v>
      </c>
      <c r="P59" s="30"/>
      <c r="Q59" s="30"/>
      <c r="R59" s="30"/>
      <c r="S59" s="30"/>
      <c r="T59" s="30"/>
      <c r="U59" s="30"/>
      <c r="V59" s="30"/>
    </row>
    <row r="60" spans="1:22" x14ac:dyDescent="0.25">
      <c r="A60" s="30"/>
      <c r="B60" s="142" t="s">
        <v>418</v>
      </c>
      <c r="C60" s="30"/>
      <c r="D60" s="30" t="s">
        <v>379</v>
      </c>
      <c r="E60" s="30"/>
      <c r="F60" s="17" t="s">
        <v>58</v>
      </c>
      <c r="G60" s="30" t="s">
        <v>632</v>
      </c>
      <c r="H60" s="30">
        <v>79139</v>
      </c>
      <c r="I60" s="30">
        <v>79145</v>
      </c>
      <c r="J60" s="30">
        <f t="shared" si="6"/>
        <v>6</v>
      </c>
      <c r="K60" s="30">
        <v>18</v>
      </c>
      <c r="L60" s="30">
        <f t="shared" si="7"/>
        <v>108</v>
      </c>
      <c r="M60" s="30" t="s">
        <v>137</v>
      </c>
      <c r="N60" s="30" t="s">
        <v>76</v>
      </c>
      <c r="O60" s="30" t="s">
        <v>350</v>
      </c>
      <c r="P60" s="30"/>
      <c r="Q60" s="30"/>
      <c r="R60" s="30"/>
      <c r="S60" s="30"/>
      <c r="T60" s="30"/>
      <c r="U60" s="30"/>
      <c r="V60" s="30"/>
    </row>
    <row r="61" spans="1:22" x14ac:dyDescent="0.25">
      <c r="A61" s="30"/>
      <c r="B61" s="142" t="s">
        <v>420</v>
      </c>
      <c r="C61" s="30"/>
      <c r="D61" s="30" t="s">
        <v>379</v>
      </c>
      <c r="E61" s="30"/>
      <c r="F61" s="17" t="s">
        <v>58</v>
      </c>
      <c r="G61" s="30" t="s">
        <v>634</v>
      </c>
      <c r="H61" s="30">
        <v>79145</v>
      </c>
      <c r="I61" s="30">
        <v>79151</v>
      </c>
      <c r="J61" s="30">
        <f t="shared" si="6"/>
        <v>6</v>
      </c>
      <c r="K61" s="30">
        <v>18</v>
      </c>
      <c r="L61" s="30">
        <f t="shared" si="7"/>
        <v>108</v>
      </c>
      <c r="M61" s="30" t="s">
        <v>137</v>
      </c>
      <c r="N61" s="30" t="s">
        <v>225</v>
      </c>
      <c r="O61" s="30" t="s">
        <v>421</v>
      </c>
      <c r="P61" s="30"/>
      <c r="Q61" s="30"/>
      <c r="R61" s="30"/>
      <c r="S61" s="30"/>
      <c r="T61" s="30"/>
      <c r="U61" s="30"/>
      <c r="V61" s="30"/>
    </row>
    <row r="62" spans="1:22" x14ac:dyDescent="0.25">
      <c r="A62" s="30"/>
      <c r="B62" s="142" t="s">
        <v>422</v>
      </c>
      <c r="C62" s="30"/>
      <c r="D62" s="30" t="s">
        <v>379</v>
      </c>
      <c r="E62" s="30"/>
      <c r="F62" s="17" t="s">
        <v>58</v>
      </c>
      <c r="G62" s="30" t="s">
        <v>631</v>
      </c>
      <c r="H62" s="30">
        <v>79151</v>
      </c>
      <c r="I62" s="30">
        <v>79157</v>
      </c>
      <c r="J62" s="30">
        <f t="shared" si="6"/>
        <v>6</v>
      </c>
      <c r="K62" s="30">
        <v>18</v>
      </c>
      <c r="L62" s="30">
        <f t="shared" si="7"/>
        <v>108</v>
      </c>
      <c r="M62" s="30" t="s">
        <v>137</v>
      </c>
      <c r="N62" s="30" t="s">
        <v>423</v>
      </c>
      <c r="O62" s="30" t="s">
        <v>33</v>
      </c>
      <c r="P62" s="30"/>
      <c r="Q62" s="30"/>
      <c r="R62" s="30"/>
      <c r="S62" s="30"/>
      <c r="T62" s="30"/>
      <c r="U62" s="30"/>
      <c r="V62" s="30"/>
    </row>
    <row r="63" spans="1:22" x14ac:dyDescent="0.25">
      <c r="A63" s="30"/>
      <c r="B63" s="142" t="s">
        <v>422</v>
      </c>
      <c r="C63" s="30"/>
      <c r="D63" s="30" t="s">
        <v>379</v>
      </c>
      <c r="E63" s="30"/>
      <c r="F63" s="17" t="s">
        <v>58</v>
      </c>
      <c r="G63" s="30" t="s">
        <v>630</v>
      </c>
      <c r="H63" s="30">
        <v>79157</v>
      </c>
      <c r="I63" s="30">
        <v>79173</v>
      </c>
      <c r="J63" s="30">
        <f t="shared" si="6"/>
        <v>16</v>
      </c>
      <c r="K63" s="30">
        <v>18</v>
      </c>
      <c r="L63" s="30">
        <f t="shared" si="7"/>
        <v>288</v>
      </c>
      <c r="M63" s="30" t="s">
        <v>137</v>
      </c>
      <c r="N63" s="30" t="s">
        <v>37</v>
      </c>
      <c r="O63" s="30" t="s">
        <v>427</v>
      </c>
      <c r="P63" s="30"/>
      <c r="Q63" s="30"/>
      <c r="R63" s="30"/>
      <c r="S63" s="30"/>
      <c r="T63" s="30"/>
      <c r="U63" s="30"/>
      <c r="V63" s="30"/>
    </row>
    <row r="64" spans="1:22" x14ac:dyDescent="0.25">
      <c r="A64" s="30"/>
      <c r="B64" s="142" t="s">
        <v>428</v>
      </c>
      <c r="C64" s="30"/>
      <c r="D64" s="30" t="s">
        <v>429</v>
      </c>
      <c r="E64" s="30"/>
      <c r="F64" s="17" t="s">
        <v>58</v>
      </c>
      <c r="G64" s="30" t="s">
        <v>629</v>
      </c>
      <c r="H64" s="30">
        <v>79173</v>
      </c>
      <c r="I64" s="30">
        <v>79179</v>
      </c>
      <c r="J64" s="30">
        <f t="shared" si="6"/>
        <v>6</v>
      </c>
      <c r="K64" s="30">
        <v>18</v>
      </c>
      <c r="L64" s="30">
        <f t="shared" si="7"/>
        <v>108</v>
      </c>
      <c r="M64" s="30" t="s">
        <v>137</v>
      </c>
      <c r="N64" s="30" t="s">
        <v>423</v>
      </c>
      <c r="O64" s="30" t="s">
        <v>430</v>
      </c>
      <c r="P64" s="30"/>
      <c r="Q64" s="30"/>
      <c r="R64" s="30"/>
      <c r="S64" s="30"/>
      <c r="T64" s="30"/>
      <c r="U64" s="30"/>
      <c r="V64" s="30"/>
    </row>
    <row r="65" spans="1:22" x14ac:dyDescent="0.25">
      <c r="A65" s="30"/>
      <c r="B65" s="142" t="s">
        <v>432</v>
      </c>
      <c r="C65" s="30"/>
      <c r="D65" s="30" t="s">
        <v>431</v>
      </c>
      <c r="E65" s="30"/>
      <c r="F65" s="17" t="s">
        <v>58</v>
      </c>
      <c r="G65" s="30" t="s">
        <v>567</v>
      </c>
      <c r="H65" s="30">
        <v>79179</v>
      </c>
      <c r="I65" s="30">
        <v>79195</v>
      </c>
      <c r="J65" s="30">
        <f t="shared" ref="J65:J80" si="10">I65-H65</f>
        <v>16</v>
      </c>
      <c r="K65" s="30">
        <v>18</v>
      </c>
      <c r="L65" s="30">
        <f t="shared" si="7"/>
        <v>288</v>
      </c>
      <c r="M65" s="30" t="s">
        <v>137</v>
      </c>
      <c r="N65" s="30" t="s">
        <v>34</v>
      </c>
      <c r="O65" s="30" t="s">
        <v>435</v>
      </c>
      <c r="P65" s="30"/>
      <c r="Q65" s="30"/>
      <c r="R65" s="30"/>
      <c r="S65" s="30"/>
      <c r="T65" s="30"/>
      <c r="U65" s="30"/>
      <c r="V65" s="30"/>
    </row>
    <row r="66" spans="1:22" x14ac:dyDescent="0.25">
      <c r="A66" s="30"/>
      <c r="B66" s="142" t="s">
        <v>433</v>
      </c>
      <c r="C66" s="30"/>
      <c r="D66" s="30" t="s">
        <v>429</v>
      </c>
      <c r="E66" s="30"/>
      <c r="F66" s="17" t="s">
        <v>58</v>
      </c>
      <c r="G66" s="30" t="s">
        <v>628</v>
      </c>
      <c r="H66" s="30">
        <v>79196</v>
      </c>
      <c r="I66" s="30">
        <v>79202</v>
      </c>
      <c r="J66" s="30">
        <f t="shared" si="10"/>
        <v>6</v>
      </c>
      <c r="K66" s="30">
        <v>18</v>
      </c>
      <c r="L66" s="30">
        <f t="shared" si="7"/>
        <v>108</v>
      </c>
      <c r="M66" s="30" t="s">
        <v>137</v>
      </c>
      <c r="N66" s="30" t="s">
        <v>200</v>
      </c>
      <c r="O66" s="30" t="s">
        <v>76</v>
      </c>
      <c r="P66" s="30"/>
      <c r="Q66" s="30"/>
      <c r="R66" s="30"/>
      <c r="S66" s="30"/>
      <c r="T66" s="30"/>
      <c r="U66" s="30"/>
      <c r="V66" s="30"/>
    </row>
    <row r="67" spans="1:22" x14ac:dyDescent="0.25">
      <c r="B67" s="142" t="s">
        <v>433</v>
      </c>
      <c r="D67" s="30" t="s">
        <v>429</v>
      </c>
      <c r="F67" s="17" t="s">
        <v>58</v>
      </c>
      <c r="G67" s="110" t="s">
        <v>434</v>
      </c>
      <c r="H67" s="30">
        <v>79202</v>
      </c>
      <c r="I67" s="30">
        <v>79203</v>
      </c>
      <c r="J67" s="30">
        <f t="shared" si="10"/>
        <v>1</v>
      </c>
      <c r="K67" s="30">
        <v>18</v>
      </c>
      <c r="L67" s="30">
        <f t="shared" si="7"/>
        <v>18</v>
      </c>
      <c r="M67" s="30" t="s">
        <v>137</v>
      </c>
      <c r="N67" s="30" t="s">
        <v>423</v>
      </c>
      <c r="O67" s="30" t="s">
        <v>50</v>
      </c>
    </row>
    <row r="68" spans="1:22" x14ac:dyDescent="0.25">
      <c r="B68" s="145" t="s">
        <v>440</v>
      </c>
      <c r="D68" s="121" t="s">
        <v>379</v>
      </c>
      <c r="E68" s="121"/>
      <c r="F68" s="122" t="s">
        <v>58</v>
      </c>
      <c r="G68" s="121" t="s">
        <v>637</v>
      </c>
      <c r="H68" s="121">
        <v>79203</v>
      </c>
      <c r="I68" s="110">
        <v>79208</v>
      </c>
      <c r="J68" s="110">
        <f t="shared" si="10"/>
        <v>5</v>
      </c>
      <c r="K68" s="110">
        <v>18</v>
      </c>
      <c r="L68" s="110">
        <f t="shared" si="7"/>
        <v>90</v>
      </c>
      <c r="M68" s="121" t="s">
        <v>137</v>
      </c>
      <c r="N68" s="121" t="s">
        <v>41</v>
      </c>
      <c r="O68" s="121" t="s">
        <v>441</v>
      </c>
    </row>
    <row r="69" spans="1:22" x14ac:dyDescent="0.25">
      <c r="B69" s="142" t="s">
        <v>451</v>
      </c>
      <c r="C69" s="30"/>
      <c r="D69" s="30" t="s">
        <v>298</v>
      </c>
      <c r="E69" s="30"/>
      <c r="F69" s="17" t="s">
        <v>58</v>
      </c>
      <c r="G69" s="30" t="s">
        <v>560</v>
      </c>
      <c r="H69" s="30">
        <v>79209</v>
      </c>
      <c r="I69" s="30">
        <v>79210</v>
      </c>
      <c r="J69" s="30">
        <f t="shared" si="10"/>
        <v>1</v>
      </c>
      <c r="K69" s="30">
        <v>18</v>
      </c>
      <c r="L69" s="30">
        <f t="shared" si="7"/>
        <v>18</v>
      </c>
      <c r="M69" s="30" t="s">
        <v>137</v>
      </c>
      <c r="N69" s="30" t="s">
        <v>76</v>
      </c>
      <c r="O69" s="30" t="s">
        <v>452</v>
      </c>
    </row>
    <row r="70" spans="1:22" x14ac:dyDescent="0.25">
      <c r="B70" s="142" t="s">
        <v>451</v>
      </c>
      <c r="C70" s="30"/>
      <c r="D70" s="30" t="s">
        <v>28</v>
      </c>
      <c r="E70" s="30"/>
      <c r="F70" s="17" t="s">
        <v>49</v>
      </c>
      <c r="G70" s="30" t="s">
        <v>556</v>
      </c>
      <c r="H70" s="30">
        <v>79210</v>
      </c>
      <c r="I70" s="30">
        <v>79215</v>
      </c>
      <c r="J70" s="30">
        <f t="shared" si="10"/>
        <v>5</v>
      </c>
      <c r="K70" s="30">
        <v>18</v>
      </c>
      <c r="L70" s="30">
        <f t="shared" si="7"/>
        <v>90</v>
      </c>
      <c r="M70" s="30" t="s">
        <v>137</v>
      </c>
      <c r="N70" s="30" t="s">
        <v>51</v>
      </c>
      <c r="O70" s="30" t="s">
        <v>247</v>
      </c>
    </row>
    <row r="71" spans="1:22" x14ac:dyDescent="0.25">
      <c r="B71" s="142" t="s">
        <v>453</v>
      </c>
      <c r="C71" s="30"/>
      <c r="D71" s="30" t="s">
        <v>544</v>
      </c>
      <c r="E71" s="30"/>
      <c r="F71" s="17" t="s">
        <v>58</v>
      </c>
      <c r="G71" s="17" t="s">
        <v>568</v>
      </c>
      <c r="H71" s="30">
        <v>79215</v>
      </c>
      <c r="I71" s="30">
        <v>79227</v>
      </c>
      <c r="J71" s="30">
        <f t="shared" si="10"/>
        <v>12</v>
      </c>
      <c r="K71" s="30">
        <v>18</v>
      </c>
      <c r="L71" s="30">
        <f t="shared" si="7"/>
        <v>216</v>
      </c>
      <c r="M71" s="30" t="s">
        <v>137</v>
      </c>
      <c r="N71" s="91" t="s">
        <v>456</v>
      </c>
      <c r="O71" s="30" t="s">
        <v>24</v>
      </c>
    </row>
    <row r="72" spans="1:22" x14ac:dyDescent="0.25">
      <c r="B72" s="142" t="s">
        <v>454</v>
      </c>
      <c r="C72" s="30"/>
      <c r="D72" s="121" t="s">
        <v>379</v>
      </c>
      <c r="E72" s="30"/>
      <c r="F72" s="17" t="s">
        <v>58</v>
      </c>
      <c r="G72" s="30" t="s">
        <v>560</v>
      </c>
      <c r="H72" s="30">
        <v>79227</v>
      </c>
      <c r="I72" s="30">
        <v>79228</v>
      </c>
      <c r="J72" s="30">
        <f t="shared" si="10"/>
        <v>1</v>
      </c>
      <c r="K72" s="30">
        <v>18</v>
      </c>
      <c r="L72" s="30">
        <f t="shared" si="7"/>
        <v>18</v>
      </c>
      <c r="M72" s="30" t="s">
        <v>137</v>
      </c>
      <c r="N72" s="30" t="s">
        <v>289</v>
      </c>
      <c r="O72" s="30" t="s">
        <v>457</v>
      </c>
    </row>
    <row r="73" spans="1:22" x14ac:dyDescent="0.25">
      <c r="B73" s="142" t="s">
        <v>455</v>
      </c>
      <c r="C73" s="30"/>
      <c r="D73" s="17" t="s">
        <v>379</v>
      </c>
      <c r="E73" s="30"/>
      <c r="F73" s="17" t="s">
        <v>58</v>
      </c>
      <c r="G73" s="30" t="s">
        <v>560</v>
      </c>
      <c r="H73" s="30">
        <v>79228</v>
      </c>
      <c r="I73" s="30">
        <v>79229</v>
      </c>
      <c r="J73" s="30">
        <f t="shared" si="10"/>
        <v>1</v>
      </c>
      <c r="K73" s="30">
        <v>18</v>
      </c>
      <c r="L73" s="30">
        <f t="shared" si="7"/>
        <v>18</v>
      </c>
      <c r="M73" s="30" t="s">
        <v>137</v>
      </c>
      <c r="N73" s="30" t="s">
        <v>458</v>
      </c>
      <c r="O73" s="30" t="s">
        <v>330</v>
      </c>
    </row>
    <row r="74" spans="1:22" s="153" customFormat="1" x14ac:dyDescent="0.25">
      <c r="B74" s="154" t="s">
        <v>464</v>
      </c>
      <c r="C74" s="152"/>
      <c r="D74" s="17" t="s">
        <v>379</v>
      </c>
      <c r="E74" s="152"/>
      <c r="F74" s="152" t="s">
        <v>58</v>
      </c>
      <c r="G74" s="152" t="s">
        <v>560</v>
      </c>
      <c r="H74" s="152">
        <v>79229</v>
      </c>
      <c r="I74" s="152">
        <v>79231</v>
      </c>
      <c r="J74" s="152">
        <f t="shared" si="10"/>
        <v>2</v>
      </c>
      <c r="K74" s="152">
        <v>18</v>
      </c>
      <c r="L74" s="152">
        <f t="shared" si="7"/>
        <v>36</v>
      </c>
      <c r="M74" s="152" t="s">
        <v>381</v>
      </c>
      <c r="N74" s="152" t="s">
        <v>26</v>
      </c>
      <c r="O74" s="152" t="s">
        <v>459</v>
      </c>
    </row>
    <row r="75" spans="1:22" s="16" customFormat="1" x14ac:dyDescent="0.25">
      <c r="A75" s="96"/>
      <c r="B75" s="144" t="s">
        <v>464</v>
      </c>
      <c r="C75" s="15"/>
      <c r="D75" s="15" t="s">
        <v>463</v>
      </c>
      <c r="E75" s="15"/>
      <c r="F75" s="15" t="s">
        <v>84</v>
      </c>
      <c r="G75" s="15" t="s">
        <v>569</v>
      </c>
      <c r="H75" s="15">
        <v>79231</v>
      </c>
      <c r="I75" s="15">
        <v>79239</v>
      </c>
      <c r="J75" s="15">
        <f t="shared" si="10"/>
        <v>8</v>
      </c>
      <c r="K75" s="15">
        <v>18</v>
      </c>
      <c r="L75" s="15">
        <f t="shared" si="7"/>
        <v>144</v>
      </c>
      <c r="M75" s="152" t="s">
        <v>381</v>
      </c>
      <c r="N75" s="15" t="s">
        <v>62</v>
      </c>
      <c r="O75" s="15" t="s">
        <v>189</v>
      </c>
    </row>
    <row r="76" spans="1:22" s="153" customFormat="1" x14ac:dyDescent="0.25">
      <c r="B76" s="154" t="s">
        <v>464</v>
      </c>
      <c r="C76" s="152"/>
      <c r="D76" s="152" t="s">
        <v>379</v>
      </c>
      <c r="E76" s="152"/>
      <c r="F76" s="152" t="s">
        <v>58</v>
      </c>
      <c r="G76" s="152" t="s">
        <v>560</v>
      </c>
      <c r="H76" s="152">
        <v>79239</v>
      </c>
      <c r="I76" s="152">
        <v>79240</v>
      </c>
      <c r="J76" s="152">
        <f t="shared" si="10"/>
        <v>1</v>
      </c>
      <c r="K76" s="152">
        <v>18</v>
      </c>
      <c r="L76" s="152">
        <f t="shared" si="7"/>
        <v>18</v>
      </c>
      <c r="M76" s="152" t="s">
        <v>381</v>
      </c>
      <c r="N76" s="152" t="s">
        <v>190</v>
      </c>
      <c r="O76" s="152" t="s">
        <v>460</v>
      </c>
    </row>
    <row r="77" spans="1:22" s="20" customFormat="1" x14ac:dyDescent="0.25">
      <c r="B77" s="142" t="s">
        <v>464</v>
      </c>
      <c r="C77" s="17"/>
      <c r="D77" s="17" t="s">
        <v>28</v>
      </c>
      <c r="E77" s="17"/>
      <c r="F77" s="17" t="s">
        <v>49</v>
      </c>
      <c r="G77" s="17" t="s">
        <v>575</v>
      </c>
      <c r="H77" s="17">
        <v>79241</v>
      </c>
      <c r="I77" s="17">
        <v>79246</v>
      </c>
      <c r="J77" s="17">
        <f t="shared" si="10"/>
        <v>5</v>
      </c>
      <c r="K77" s="17">
        <v>18</v>
      </c>
      <c r="L77" s="17">
        <f t="shared" si="7"/>
        <v>90</v>
      </c>
      <c r="M77" s="17" t="s">
        <v>28</v>
      </c>
      <c r="N77" s="17" t="s">
        <v>461</v>
      </c>
      <c r="O77" s="17" t="s">
        <v>462</v>
      </c>
    </row>
    <row r="78" spans="1:22" s="16" customFormat="1" x14ac:dyDescent="0.25">
      <c r="A78" s="96"/>
      <c r="B78" s="149" t="s">
        <v>467</v>
      </c>
      <c r="D78" s="150" t="s">
        <v>468</v>
      </c>
      <c r="F78" s="150" t="s">
        <v>332</v>
      </c>
      <c r="G78" s="150" t="s">
        <v>380</v>
      </c>
      <c r="H78" s="150">
        <v>79246</v>
      </c>
      <c r="I78" s="151">
        <v>79252</v>
      </c>
      <c r="J78" s="151">
        <f t="shared" si="10"/>
        <v>6</v>
      </c>
      <c r="K78" s="150">
        <v>18</v>
      </c>
      <c r="L78" s="150">
        <f t="shared" si="7"/>
        <v>108</v>
      </c>
      <c r="M78" s="150" t="s">
        <v>28</v>
      </c>
      <c r="N78" s="151" t="s">
        <v>469</v>
      </c>
      <c r="O78" s="151" t="s">
        <v>61</v>
      </c>
    </row>
    <row r="79" spans="1:22" s="16" customFormat="1" x14ac:dyDescent="0.25">
      <c r="A79" s="96"/>
      <c r="B79" s="144" t="s">
        <v>470</v>
      </c>
      <c r="C79" s="15"/>
      <c r="D79" s="15" t="s">
        <v>298</v>
      </c>
      <c r="E79" s="15"/>
      <c r="F79" s="15" t="s">
        <v>294</v>
      </c>
      <c r="G79" s="15" t="s">
        <v>593</v>
      </c>
      <c r="H79" s="15">
        <v>79252</v>
      </c>
      <c r="I79" s="15">
        <v>79265</v>
      </c>
      <c r="J79" s="15">
        <f t="shared" si="10"/>
        <v>13</v>
      </c>
      <c r="K79" s="15">
        <v>18</v>
      </c>
      <c r="L79" s="15">
        <f t="shared" si="7"/>
        <v>234</v>
      </c>
      <c r="M79" s="15" t="s">
        <v>137</v>
      </c>
      <c r="N79" s="15" t="s">
        <v>459</v>
      </c>
      <c r="O79" s="15" t="s">
        <v>35</v>
      </c>
    </row>
    <row r="80" spans="1:22" x14ac:dyDescent="0.25">
      <c r="B80" s="142" t="s">
        <v>471</v>
      </c>
      <c r="D80" s="17" t="s">
        <v>28</v>
      </c>
      <c r="E80" s="148"/>
      <c r="F80" s="17" t="s">
        <v>49</v>
      </c>
      <c r="G80" s="30" t="s">
        <v>556</v>
      </c>
      <c r="H80" s="30">
        <v>79265</v>
      </c>
      <c r="I80" s="30">
        <v>79291</v>
      </c>
      <c r="J80" s="30">
        <f t="shared" si="10"/>
        <v>26</v>
      </c>
      <c r="K80" s="30">
        <v>18</v>
      </c>
      <c r="L80" s="30">
        <f t="shared" si="7"/>
        <v>468</v>
      </c>
      <c r="M80" s="30" t="s">
        <v>28</v>
      </c>
      <c r="N80" s="30" t="s">
        <v>472</v>
      </c>
      <c r="O80" s="30" t="s">
        <v>461</v>
      </c>
    </row>
    <row r="81" spans="1:22" x14ac:dyDescent="0.25">
      <c r="F81" s="30"/>
      <c r="G81" s="30"/>
      <c r="H81" s="30"/>
      <c r="I81" s="30"/>
      <c r="J81" s="30"/>
      <c r="K81" s="30"/>
      <c r="L81" s="30"/>
      <c r="M81" s="30"/>
      <c r="N81" s="30"/>
      <c r="O81" s="30"/>
    </row>
    <row r="82" spans="1:22" ht="47.25" x14ac:dyDescent="0.25">
      <c r="A82" s="41" t="s">
        <v>148</v>
      </c>
      <c r="B82" s="141" t="s">
        <v>0</v>
      </c>
      <c r="C82" s="42" t="s">
        <v>206</v>
      </c>
      <c r="D82" s="43" t="s">
        <v>1</v>
      </c>
      <c r="E82" s="43" t="s">
        <v>2</v>
      </c>
      <c r="F82" s="43" t="s">
        <v>202</v>
      </c>
      <c r="G82" s="43" t="s">
        <v>4</v>
      </c>
      <c r="H82" s="59" t="s">
        <v>5</v>
      </c>
      <c r="I82" s="60" t="s">
        <v>6</v>
      </c>
      <c r="J82" s="60" t="s">
        <v>7</v>
      </c>
      <c r="K82" s="61" t="s">
        <v>203</v>
      </c>
      <c r="L82" s="62" t="s">
        <v>204</v>
      </c>
      <c r="M82" s="53" t="s">
        <v>10</v>
      </c>
      <c r="N82" s="54" t="s">
        <v>8</v>
      </c>
      <c r="O82" s="55" t="s">
        <v>9</v>
      </c>
      <c r="P82" s="56" t="s">
        <v>11</v>
      </c>
      <c r="Q82" s="56" t="s">
        <v>205</v>
      </c>
      <c r="R82" s="57" t="s">
        <v>147</v>
      </c>
      <c r="S82" s="58" t="s">
        <v>12</v>
      </c>
      <c r="T82" s="48" t="s">
        <v>14</v>
      </c>
      <c r="U82" s="46" t="s">
        <v>149</v>
      </c>
      <c r="V82" s="46" t="s">
        <v>15</v>
      </c>
    </row>
    <row r="83" spans="1:22" s="20" customFormat="1" x14ac:dyDescent="0.25">
      <c r="A83" s="17"/>
      <c r="B83" s="142" t="s">
        <v>473</v>
      </c>
      <c r="C83" s="17" t="s">
        <v>291</v>
      </c>
      <c r="D83" s="17" t="s">
        <v>475</v>
      </c>
      <c r="E83" s="17"/>
      <c r="F83" s="17" t="s">
        <v>474</v>
      </c>
      <c r="G83" s="17" t="s">
        <v>570</v>
      </c>
      <c r="H83" s="17">
        <v>79291</v>
      </c>
      <c r="I83" s="17">
        <v>79304</v>
      </c>
      <c r="J83" s="17">
        <f t="shared" ref="J83:J115" si="11">I83-H83</f>
        <v>13</v>
      </c>
      <c r="K83" s="17">
        <v>18</v>
      </c>
      <c r="L83" s="17">
        <f t="shared" ref="L83:L115" si="12">J83*K83</f>
        <v>234</v>
      </c>
      <c r="M83" s="17" t="s">
        <v>450</v>
      </c>
      <c r="N83" s="17" t="s">
        <v>21</v>
      </c>
      <c r="O83" s="17" t="s">
        <v>476</v>
      </c>
      <c r="P83" s="17"/>
      <c r="Q83" s="17"/>
      <c r="R83" s="17"/>
      <c r="S83" s="17"/>
      <c r="T83" s="17"/>
      <c r="U83" s="17"/>
      <c r="V83" s="17"/>
    </row>
    <row r="84" spans="1:22" x14ac:dyDescent="0.25">
      <c r="A84" s="30"/>
      <c r="B84" s="142" t="s">
        <v>473</v>
      </c>
      <c r="C84" s="30"/>
      <c r="D84" s="30" t="s">
        <v>28</v>
      </c>
      <c r="E84" s="30"/>
      <c r="F84" s="17" t="s">
        <v>49</v>
      </c>
      <c r="G84" s="30" t="s">
        <v>556</v>
      </c>
      <c r="H84" s="17">
        <v>79304</v>
      </c>
      <c r="I84" s="30">
        <v>79313</v>
      </c>
      <c r="J84" s="17">
        <f t="shared" si="11"/>
        <v>9</v>
      </c>
      <c r="K84" s="30">
        <v>18</v>
      </c>
      <c r="L84" s="17">
        <f t="shared" si="12"/>
        <v>162</v>
      </c>
      <c r="M84" s="30" t="s">
        <v>28</v>
      </c>
      <c r="N84" s="30" t="s">
        <v>479</v>
      </c>
      <c r="O84" s="30"/>
      <c r="P84" s="30"/>
      <c r="Q84" s="30"/>
      <c r="R84" s="30"/>
      <c r="S84" s="30"/>
      <c r="T84" s="30"/>
      <c r="U84" s="30"/>
      <c r="V84" s="30"/>
    </row>
    <row r="85" spans="1:22" x14ac:dyDescent="0.25">
      <c r="A85" s="30"/>
      <c r="B85" s="142" t="s">
        <v>477</v>
      </c>
      <c r="C85" s="30"/>
      <c r="D85" s="30" t="s">
        <v>238</v>
      </c>
      <c r="E85" s="30"/>
      <c r="F85" s="17" t="s">
        <v>58</v>
      </c>
      <c r="G85" s="30" t="s">
        <v>627</v>
      </c>
      <c r="H85" s="30">
        <v>79314</v>
      </c>
      <c r="I85" s="30">
        <v>79321</v>
      </c>
      <c r="J85" s="17">
        <f t="shared" si="11"/>
        <v>7</v>
      </c>
      <c r="K85" s="30">
        <v>18</v>
      </c>
      <c r="L85" s="17">
        <f t="shared" si="12"/>
        <v>126</v>
      </c>
      <c r="M85" s="30" t="s">
        <v>478</v>
      </c>
      <c r="N85" s="30" t="s">
        <v>482</v>
      </c>
      <c r="O85" s="30" t="s">
        <v>120</v>
      </c>
      <c r="P85" s="30"/>
      <c r="Q85" s="30"/>
      <c r="R85" s="30"/>
      <c r="S85" s="30"/>
      <c r="T85" s="30"/>
      <c r="U85" s="30"/>
      <c r="V85" s="30"/>
    </row>
    <row r="86" spans="1:22" x14ac:dyDescent="0.25">
      <c r="A86" s="30"/>
      <c r="B86" s="142" t="s">
        <v>480</v>
      </c>
      <c r="C86" s="30"/>
      <c r="D86" s="30" t="s">
        <v>450</v>
      </c>
      <c r="E86" s="30"/>
      <c r="F86" s="17" t="s">
        <v>58</v>
      </c>
      <c r="G86" s="30" t="s">
        <v>560</v>
      </c>
      <c r="H86" s="30">
        <v>79321</v>
      </c>
      <c r="I86" s="30">
        <v>79322</v>
      </c>
      <c r="J86" s="17">
        <f t="shared" si="11"/>
        <v>1</v>
      </c>
      <c r="K86" s="30">
        <v>18</v>
      </c>
      <c r="L86" s="17">
        <f t="shared" si="12"/>
        <v>18</v>
      </c>
      <c r="M86" s="17" t="s">
        <v>137</v>
      </c>
      <c r="N86" s="30" t="s">
        <v>481</v>
      </c>
      <c r="O86" s="30" t="s">
        <v>452</v>
      </c>
      <c r="P86" s="30"/>
      <c r="Q86" s="30"/>
      <c r="R86" s="30"/>
      <c r="S86" s="30"/>
      <c r="T86" s="30"/>
      <c r="U86" s="30"/>
      <c r="V86" s="30"/>
    </row>
    <row r="87" spans="1:22" x14ac:dyDescent="0.25">
      <c r="A87" s="30"/>
      <c r="B87" s="142" t="s">
        <v>480</v>
      </c>
      <c r="C87" s="30"/>
      <c r="D87" s="30" t="s">
        <v>28</v>
      </c>
      <c r="E87" s="30"/>
      <c r="F87" s="17" t="s">
        <v>49</v>
      </c>
      <c r="G87" s="30" t="s">
        <v>571</v>
      </c>
      <c r="H87" s="30">
        <v>79322</v>
      </c>
      <c r="I87" s="30">
        <v>79330</v>
      </c>
      <c r="J87" s="17">
        <f t="shared" si="11"/>
        <v>8</v>
      </c>
      <c r="K87" s="30">
        <v>18</v>
      </c>
      <c r="L87" s="17">
        <f t="shared" si="12"/>
        <v>144</v>
      </c>
      <c r="M87" s="30" t="s">
        <v>483</v>
      </c>
      <c r="N87" s="30" t="s">
        <v>80</v>
      </c>
      <c r="O87" s="30" t="s">
        <v>183</v>
      </c>
      <c r="P87" s="30"/>
      <c r="Q87" s="30"/>
      <c r="R87" s="30"/>
      <c r="S87" s="30"/>
      <c r="T87" s="30"/>
      <c r="U87" s="30"/>
      <c r="V87" s="30"/>
    </row>
    <row r="88" spans="1:22" x14ac:dyDescent="0.25">
      <c r="A88" s="30"/>
      <c r="B88" s="142" t="s">
        <v>492</v>
      </c>
      <c r="C88" s="30"/>
      <c r="D88" s="30" t="s">
        <v>493</v>
      </c>
      <c r="E88" s="30"/>
      <c r="F88" s="30" t="s">
        <v>58</v>
      </c>
      <c r="G88" s="30" t="s">
        <v>560</v>
      </c>
      <c r="H88" s="30">
        <v>79331</v>
      </c>
      <c r="I88" s="30">
        <v>79331</v>
      </c>
      <c r="J88" s="30">
        <f t="shared" si="11"/>
        <v>0</v>
      </c>
      <c r="K88" s="30">
        <v>18</v>
      </c>
      <c r="L88" s="17">
        <f t="shared" si="12"/>
        <v>0</v>
      </c>
      <c r="M88" s="30" t="s">
        <v>83</v>
      </c>
      <c r="N88" s="30" t="s">
        <v>200</v>
      </c>
      <c r="O88" s="30" t="s">
        <v>494</v>
      </c>
      <c r="P88" s="30"/>
      <c r="Q88" s="30"/>
      <c r="R88" s="30"/>
      <c r="S88" s="30"/>
      <c r="T88" s="30"/>
      <c r="U88" s="30"/>
      <c r="V88" s="30"/>
    </row>
    <row r="89" spans="1:22" x14ac:dyDescent="0.25">
      <c r="A89" s="30"/>
      <c r="B89" s="142" t="s">
        <v>492</v>
      </c>
      <c r="C89" s="30"/>
      <c r="D89" s="30" t="s">
        <v>450</v>
      </c>
      <c r="E89" s="30"/>
      <c r="F89" s="17" t="s">
        <v>58</v>
      </c>
      <c r="G89" s="30" t="s">
        <v>626</v>
      </c>
      <c r="H89" s="30">
        <v>79331</v>
      </c>
      <c r="I89" s="30">
        <v>79337</v>
      </c>
      <c r="J89" s="30">
        <f t="shared" si="11"/>
        <v>6</v>
      </c>
      <c r="K89" s="30">
        <v>18</v>
      </c>
      <c r="L89" s="17">
        <f t="shared" si="12"/>
        <v>108</v>
      </c>
      <c r="M89" s="30" t="s">
        <v>83</v>
      </c>
      <c r="N89" s="30" t="s">
        <v>213</v>
      </c>
      <c r="O89" s="30"/>
      <c r="P89" s="30"/>
      <c r="Q89" s="17"/>
      <c r="R89" s="30"/>
      <c r="S89" s="30"/>
      <c r="T89" s="30"/>
      <c r="U89" s="30"/>
      <c r="V89" s="30"/>
    </row>
    <row r="90" spans="1:22" x14ac:dyDescent="0.25">
      <c r="A90" s="30"/>
      <c r="B90" s="142" t="s">
        <v>497</v>
      </c>
      <c r="C90" s="30"/>
      <c r="D90" s="30" t="s">
        <v>450</v>
      </c>
      <c r="E90" s="30"/>
      <c r="F90" s="30" t="s">
        <v>58</v>
      </c>
      <c r="G90" s="30" t="s">
        <v>624</v>
      </c>
      <c r="H90" s="30">
        <v>79337</v>
      </c>
      <c r="I90" s="30">
        <v>79362</v>
      </c>
      <c r="J90" s="30">
        <f t="shared" si="11"/>
        <v>25</v>
      </c>
      <c r="K90" s="30">
        <v>18</v>
      </c>
      <c r="L90" s="17">
        <f t="shared" si="12"/>
        <v>450</v>
      </c>
      <c r="M90" s="17" t="s">
        <v>137</v>
      </c>
      <c r="N90" s="30" t="s">
        <v>496</v>
      </c>
      <c r="O90" s="30" t="s">
        <v>44</v>
      </c>
      <c r="P90" s="30"/>
      <c r="Q90" s="30"/>
      <c r="R90" s="30"/>
      <c r="S90" s="30"/>
      <c r="T90" s="30"/>
      <c r="U90" s="30"/>
      <c r="V90" s="30"/>
    </row>
    <row r="91" spans="1:22" x14ac:dyDescent="0.25">
      <c r="A91" s="30"/>
      <c r="B91" s="142" t="s">
        <v>497</v>
      </c>
      <c r="C91" s="30"/>
      <c r="D91" s="30" t="s">
        <v>450</v>
      </c>
      <c r="E91" s="30"/>
      <c r="F91" s="30" t="s">
        <v>58</v>
      </c>
      <c r="G91" s="30" t="s">
        <v>625</v>
      </c>
      <c r="H91" s="30">
        <v>79362</v>
      </c>
      <c r="I91" s="30">
        <v>79368</v>
      </c>
      <c r="J91" s="30">
        <f t="shared" si="11"/>
        <v>6</v>
      </c>
      <c r="K91" s="30">
        <v>18</v>
      </c>
      <c r="L91" s="17">
        <f t="shared" si="12"/>
        <v>108</v>
      </c>
      <c r="M91" s="17" t="s">
        <v>137</v>
      </c>
      <c r="N91" s="30" t="s">
        <v>499</v>
      </c>
      <c r="O91" s="30" t="s">
        <v>183</v>
      </c>
      <c r="P91" s="30"/>
      <c r="Q91" s="30"/>
      <c r="R91" s="30"/>
      <c r="S91" s="30"/>
      <c r="T91" s="30"/>
      <c r="U91" s="30"/>
      <c r="V91" s="30"/>
    </row>
    <row r="92" spans="1:22" x14ac:dyDescent="0.25">
      <c r="A92" s="30"/>
      <c r="B92" s="142" t="s">
        <v>498</v>
      </c>
      <c r="C92" s="30"/>
      <c r="D92" s="30" t="s">
        <v>450</v>
      </c>
      <c r="E92" s="30"/>
      <c r="F92" s="30" t="s">
        <v>58</v>
      </c>
      <c r="G92" s="30" t="s">
        <v>572</v>
      </c>
      <c r="H92" s="30">
        <v>79368</v>
      </c>
      <c r="I92" s="30">
        <v>79379</v>
      </c>
      <c r="J92" s="30">
        <f t="shared" si="11"/>
        <v>11</v>
      </c>
      <c r="K92" s="30">
        <v>18</v>
      </c>
      <c r="L92" s="17">
        <f t="shared" si="12"/>
        <v>198</v>
      </c>
      <c r="M92" s="17" t="s">
        <v>137</v>
      </c>
      <c r="N92" s="30" t="s">
        <v>62</v>
      </c>
      <c r="O92" s="30" t="s">
        <v>457</v>
      </c>
      <c r="P92" s="30"/>
    </row>
    <row r="93" spans="1:22" x14ac:dyDescent="0.25">
      <c r="A93" s="30"/>
      <c r="B93" s="142" t="s">
        <v>498</v>
      </c>
      <c r="C93" s="30"/>
      <c r="D93" s="30" t="s">
        <v>450</v>
      </c>
      <c r="E93" s="30"/>
      <c r="F93" s="30" t="s">
        <v>58</v>
      </c>
      <c r="G93" s="30" t="s">
        <v>560</v>
      </c>
      <c r="H93" s="30">
        <v>79379</v>
      </c>
      <c r="I93" s="30">
        <v>79381</v>
      </c>
      <c r="J93" s="30">
        <f t="shared" si="11"/>
        <v>2</v>
      </c>
      <c r="K93" s="30">
        <v>18</v>
      </c>
      <c r="L93" s="17">
        <f t="shared" si="12"/>
        <v>36</v>
      </c>
      <c r="M93" s="30" t="s">
        <v>83</v>
      </c>
      <c r="N93" s="30" t="s">
        <v>260</v>
      </c>
      <c r="O93" s="30" t="s">
        <v>38</v>
      </c>
      <c r="P93" s="30"/>
    </row>
    <row r="94" spans="1:22" x14ac:dyDescent="0.25">
      <c r="A94" s="30"/>
      <c r="B94" s="142" t="s">
        <v>500</v>
      </c>
      <c r="C94" s="30"/>
      <c r="D94" s="30" t="s">
        <v>450</v>
      </c>
      <c r="E94" s="30"/>
      <c r="F94" s="30" t="s">
        <v>58</v>
      </c>
      <c r="G94" s="30" t="s">
        <v>560</v>
      </c>
      <c r="H94" s="30">
        <v>79381</v>
      </c>
      <c r="I94" s="30">
        <v>79382</v>
      </c>
      <c r="J94" s="30">
        <f t="shared" si="11"/>
        <v>1</v>
      </c>
      <c r="K94" s="30">
        <v>18</v>
      </c>
      <c r="L94" s="17">
        <f t="shared" si="12"/>
        <v>18</v>
      </c>
      <c r="M94" s="30" t="s">
        <v>83</v>
      </c>
      <c r="N94" s="30" t="s">
        <v>452</v>
      </c>
      <c r="O94" s="30" t="s">
        <v>47</v>
      </c>
      <c r="P94" s="30"/>
    </row>
    <row r="95" spans="1:22" x14ac:dyDescent="0.25">
      <c r="A95" s="30"/>
      <c r="B95" s="142" t="s">
        <v>500</v>
      </c>
      <c r="C95" s="30"/>
      <c r="D95" s="30" t="s">
        <v>28</v>
      </c>
      <c r="E95" s="30"/>
      <c r="F95" s="17" t="s">
        <v>49</v>
      </c>
      <c r="G95" s="30" t="s">
        <v>571</v>
      </c>
      <c r="H95" s="30">
        <v>79382</v>
      </c>
      <c r="I95" s="30">
        <v>79391</v>
      </c>
      <c r="J95" s="30">
        <f t="shared" si="11"/>
        <v>9</v>
      </c>
      <c r="K95" s="30">
        <v>18</v>
      </c>
      <c r="L95" s="17">
        <f t="shared" si="12"/>
        <v>162</v>
      </c>
      <c r="M95" s="17" t="s">
        <v>483</v>
      </c>
      <c r="N95" s="30" t="s">
        <v>47</v>
      </c>
      <c r="O95" s="30" t="s">
        <v>37</v>
      </c>
      <c r="P95" s="30"/>
    </row>
    <row r="96" spans="1:22" x14ac:dyDescent="0.25">
      <c r="A96" s="30"/>
      <c r="B96" s="142" t="s">
        <v>501</v>
      </c>
      <c r="C96" s="30"/>
      <c r="D96" s="30" t="s">
        <v>450</v>
      </c>
      <c r="E96" s="30"/>
      <c r="F96" s="30" t="s">
        <v>58</v>
      </c>
      <c r="G96" s="30" t="s">
        <v>623</v>
      </c>
      <c r="H96" s="30">
        <v>79392</v>
      </c>
      <c r="I96" s="30">
        <v>79398</v>
      </c>
      <c r="J96" s="30">
        <f t="shared" si="11"/>
        <v>6</v>
      </c>
      <c r="K96" s="30">
        <v>18</v>
      </c>
      <c r="L96" s="17">
        <f t="shared" si="12"/>
        <v>108</v>
      </c>
      <c r="M96" s="17" t="s">
        <v>137</v>
      </c>
      <c r="N96" s="30" t="s">
        <v>60</v>
      </c>
      <c r="O96" s="30" t="s">
        <v>502</v>
      </c>
      <c r="P96" s="30"/>
    </row>
    <row r="97" spans="1:16" x14ac:dyDescent="0.25">
      <c r="A97" s="30"/>
      <c r="B97" s="142" t="s">
        <v>501</v>
      </c>
      <c r="C97" s="30"/>
      <c r="D97" s="30" t="s">
        <v>28</v>
      </c>
      <c r="E97" s="30"/>
      <c r="F97" s="17" t="s">
        <v>49</v>
      </c>
      <c r="G97" s="30" t="s">
        <v>571</v>
      </c>
      <c r="H97" s="30">
        <v>79398</v>
      </c>
      <c r="I97" s="30">
        <v>79407</v>
      </c>
      <c r="J97" s="30">
        <f t="shared" si="11"/>
        <v>9</v>
      </c>
      <c r="K97" s="30">
        <v>18</v>
      </c>
      <c r="L97" s="17">
        <f t="shared" si="12"/>
        <v>162</v>
      </c>
      <c r="M97" s="17" t="s">
        <v>483</v>
      </c>
      <c r="N97" s="30" t="s">
        <v>80</v>
      </c>
      <c r="O97" s="30" t="s">
        <v>183</v>
      </c>
      <c r="P97" s="30"/>
    </row>
    <row r="98" spans="1:16" x14ac:dyDescent="0.25">
      <c r="A98" s="30"/>
      <c r="B98" s="142" t="s">
        <v>503</v>
      </c>
      <c r="C98" s="30"/>
      <c r="D98" s="30" t="s">
        <v>450</v>
      </c>
      <c r="E98" s="30"/>
      <c r="F98" s="30" t="s">
        <v>58</v>
      </c>
      <c r="G98" s="30" t="s">
        <v>560</v>
      </c>
      <c r="H98" s="30">
        <v>79407</v>
      </c>
      <c r="I98" s="30">
        <v>79408</v>
      </c>
      <c r="J98" s="30">
        <f t="shared" si="11"/>
        <v>1</v>
      </c>
      <c r="K98" s="30">
        <v>18</v>
      </c>
      <c r="L98" s="17">
        <f t="shared" si="12"/>
        <v>18</v>
      </c>
      <c r="M98" s="17" t="s">
        <v>137</v>
      </c>
      <c r="N98" s="30" t="s">
        <v>508</v>
      </c>
      <c r="O98" s="30" t="s">
        <v>509</v>
      </c>
      <c r="P98" s="30"/>
    </row>
    <row r="99" spans="1:16" s="16" customFormat="1" x14ac:dyDescent="0.25">
      <c r="A99" s="93"/>
      <c r="B99" s="144" t="s">
        <v>503</v>
      </c>
      <c r="C99" s="15"/>
      <c r="D99" s="15" t="s">
        <v>403</v>
      </c>
      <c r="E99" s="15"/>
      <c r="F99" s="15" t="s">
        <v>504</v>
      </c>
      <c r="G99" s="15" t="s">
        <v>505</v>
      </c>
      <c r="H99" s="15">
        <v>79408</v>
      </c>
      <c r="I99" s="15">
        <v>79424</v>
      </c>
      <c r="J99" s="15">
        <f t="shared" si="11"/>
        <v>16</v>
      </c>
      <c r="K99" s="15">
        <v>18</v>
      </c>
      <c r="L99" s="15">
        <f t="shared" si="12"/>
        <v>288</v>
      </c>
      <c r="M99" s="15" t="s">
        <v>137</v>
      </c>
      <c r="N99" s="15" t="s">
        <v>510</v>
      </c>
      <c r="O99" s="15" t="s">
        <v>511</v>
      </c>
      <c r="P99" s="15"/>
    </row>
    <row r="100" spans="1:16" x14ac:dyDescent="0.25">
      <c r="A100" s="30"/>
      <c r="B100" s="142" t="s">
        <v>503</v>
      </c>
      <c r="C100" s="30"/>
      <c r="D100" s="30" t="s">
        <v>28</v>
      </c>
      <c r="E100" s="30"/>
      <c r="F100" s="17" t="s">
        <v>49</v>
      </c>
      <c r="G100" s="30" t="s">
        <v>556</v>
      </c>
      <c r="H100" s="30">
        <v>79424</v>
      </c>
      <c r="I100" s="30">
        <v>79430</v>
      </c>
      <c r="J100" s="30">
        <f t="shared" si="11"/>
        <v>6</v>
      </c>
      <c r="K100" s="30">
        <v>18</v>
      </c>
      <c r="L100" s="17">
        <f t="shared" si="12"/>
        <v>108</v>
      </c>
      <c r="M100" s="17" t="s">
        <v>137</v>
      </c>
      <c r="N100" s="30" t="s">
        <v>61</v>
      </c>
      <c r="O100" s="30" t="s">
        <v>512</v>
      </c>
      <c r="P100" s="30"/>
    </row>
    <row r="101" spans="1:16" s="16" customFormat="1" x14ac:dyDescent="0.25">
      <c r="A101" s="93"/>
      <c r="B101" s="144" t="s">
        <v>506</v>
      </c>
      <c r="C101" s="15"/>
      <c r="D101" s="15" t="s">
        <v>507</v>
      </c>
      <c r="E101" s="15"/>
      <c r="F101" s="15" t="s">
        <v>332</v>
      </c>
      <c r="G101" s="15" t="s">
        <v>495</v>
      </c>
      <c r="H101" s="15">
        <v>79430</v>
      </c>
      <c r="I101" s="15">
        <v>79436</v>
      </c>
      <c r="J101" s="15">
        <f t="shared" si="11"/>
        <v>6</v>
      </c>
      <c r="K101" s="15">
        <v>18</v>
      </c>
      <c r="L101" s="15">
        <f t="shared" si="12"/>
        <v>108</v>
      </c>
      <c r="M101" s="15" t="s">
        <v>137</v>
      </c>
      <c r="N101" s="15" t="s">
        <v>513</v>
      </c>
      <c r="O101" s="15" t="s">
        <v>509</v>
      </c>
      <c r="P101" s="15"/>
    </row>
    <row r="102" spans="1:16" x14ac:dyDescent="0.25">
      <c r="A102" s="30"/>
      <c r="B102" s="142" t="s">
        <v>506</v>
      </c>
      <c r="C102" s="30"/>
      <c r="D102" s="30" t="s">
        <v>450</v>
      </c>
      <c r="E102" s="30"/>
      <c r="F102" s="30" t="s">
        <v>58</v>
      </c>
      <c r="G102" s="30" t="s">
        <v>560</v>
      </c>
      <c r="H102" s="30">
        <v>79436</v>
      </c>
      <c r="I102" s="30">
        <v>79437</v>
      </c>
      <c r="J102" s="30">
        <f t="shared" si="11"/>
        <v>1</v>
      </c>
      <c r="K102" s="30">
        <v>18</v>
      </c>
      <c r="L102" s="17">
        <f t="shared" si="12"/>
        <v>18</v>
      </c>
      <c r="M102" s="17" t="s">
        <v>137</v>
      </c>
      <c r="N102" s="30" t="s">
        <v>514</v>
      </c>
      <c r="O102" s="30" t="s">
        <v>515</v>
      </c>
      <c r="P102" s="30"/>
    </row>
    <row r="103" spans="1:16" x14ac:dyDescent="0.25">
      <c r="A103" s="30"/>
      <c r="B103" s="142" t="s">
        <v>506</v>
      </c>
      <c r="C103" s="30"/>
      <c r="D103" s="30" t="s">
        <v>450</v>
      </c>
      <c r="E103" s="30"/>
      <c r="F103" s="30" t="s">
        <v>58</v>
      </c>
      <c r="G103" s="30" t="s">
        <v>622</v>
      </c>
      <c r="H103" s="30">
        <v>79437</v>
      </c>
      <c r="I103" s="30">
        <v>79462</v>
      </c>
      <c r="J103" s="30">
        <f t="shared" si="11"/>
        <v>25</v>
      </c>
      <c r="K103" s="30">
        <v>18</v>
      </c>
      <c r="L103" s="17">
        <f t="shared" si="12"/>
        <v>450</v>
      </c>
      <c r="M103" s="17" t="s">
        <v>137</v>
      </c>
      <c r="N103" s="30" t="s">
        <v>516</v>
      </c>
      <c r="O103" s="30" t="s">
        <v>517</v>
      </c>
      <c r="P103" s="30"/>
    </row>
    <row r="104" spans="1:16" x14ac:dyDescent="0.25">
      <c r="A104" s="30"/>
      <c r="B104" s="142" t="s">
        <v>530</v>
      </c>
      <c r="C104" s="30"/>
      <c r="D104" s="30" t="s">
        <v>450</v>
      </c>
      <c r="E104" s="30"/>
      <c r="F104" s="30" t="s">
        <v>58</v>
      </c>
      <c r="G104" s="30" t="s">
        <v>666</v>
      </c>
      <c r="H104" s="30">
        <v>79462</v>
      </c>
      <c r="I104" s="30">
        <v>79468</v>
      </c>
      <c r="J104" s="30">
        <f t="shared" si="11"/>
        <v>6</v>
      </c>
      <c r="K104" s="30">
        <v>18</v>
      </c>
      <c r="L104" s="17">
        <f t="shared" si="12"/>
        <v>108</v>
      </c>
      <c r="M104" s="17" t="s">
        <v>137</v>
      </c>
      <c r="N104" s="30" t="s">
        <v>213</v>
      </c>
      <c r="O104" s="30" t="s">
        <v>531</v>
      </c>
      <c r="P104" s="30"/>
    </row>
    <row r="105" spans="1:16" x14ac:dyDescent="0.25">
      <c r="A105" s="30"/>
      <c r="B105" s="142" t="s">
        <v>532</v>
      </c>
      <c r="C105" s="30"/>
      <c r="D105" s="30" t="s">
        <v>28</v>
      </c>
      <c r="E105" s="30"/>
      <c r="F105" s="17" t="s">
        <v>49</v>
      </c>
      <c r="G105" s="30" t="s">
        <v>556</v>
      </c>
      <c r="H105" s="30">
        <v>79468</v>
      </c>
      <c r="I105" s="30">
        <v>79473</v>
      </c>
      <c r="J105" s="30">
        <f t="shared" si="11"/>
        <v>5</v>
      </c>
      <c r="K105" s="30">
        <v>18</v>
      </c>
      <c r="L105" s="17">
        <f t="shared" si="12"/>
        <v>90</v>
      </c>
      <c r="M105" s="17" t="s">
        <v>137</v>
      </c>
      <c r="N105" s="30" t="s">
        <v>51</v>
      </c>
      <c r="O105" s="30" t="s">
        <v>216</v>
      </c>
      <c r="P105" s="30"/>
    </row>
    <row r="106" spans="1:16" x14ac:dyDescent="0.25">
      <c r="A106" s="30"/>
      <c r="B106" s="142" t="s">
        <v>533</v>
      </c>
      <c r="C106" s="30"/>
      <c r="D106" s="30" t="s">
        <v>28</v>
      </c>
      <c r="E106" s="30"/>
      <c r="F106" s="17" t="s">
        <v>49</v>
      </c>
      <c r="G106" s="30" t="s">
        <v>574</v>
      </c>
      <c r="H106" s="30">
        <v>79473</v>
      </c>
      <c r="I106" s="30">
        <v>79482</v>
      </c>
      <c r="J106" s="30">
        <f t="shared" si="11"/>
        <v>9</v>
      </c>
      <c r="K106" s="30">
        <v>18</v>
      </c>
      <c r="L106" s="17">
        <f t="shared" si="12"/>
        <v>162</v>
      </c>
      <c r="M106" s="30" t="s">
        <v>535</v>
      </c>
      <c r="N106" s="30" t="s">
        <v>34</v>
      </c>
      <c r="O106" s="30" t="s">
        <v>461</v>
      </c>
      <c r="P106" s="30"/>
    </row>
    <row r="107" spans="1:16" x14ac:dyDescent="0.25">
      <c r="A107" s="30"/>
      <c r="B107" s="142" t="s">
        <v>534</v>
      </c>
      <c r="C107" s="30"/>
      <c r="D107" s="30" t="s">
        <v>28</v>
      </c>
      <c r="E107" s="30"/>
      <c r="F107" s="17" t="s">
        <v>49</v>
      </c>
      <c r="G107" s="30" t="s">
        <v>574</v>
      </c>
      <c r="H107" s="30">
        <v>79484</v>
      </c>
      <c r="I107" s="30">
        <v>79492</v>
      </c>
      <c r="J107" s="30">
        <f t="shared" si="11"/>
        <v>8</v>
      </c>
      <c r="K107" s="30">
        <v>18</v>
      </c>
      <c r="L107" s="17">
        <f t="shared" si="12"/>
        <v>144</v>
      </c>
      <c r="M107" s="30" t="s">
        <v>535</v>
      </c>
      <c r="N107" s="30" t="s">
        <v>38</v>
      </c>
      <c r="O107" s="30" t="s">
        <v>536</v>
      </c>
      <c r="P107" s="30"/>
    </row>
    <row r="108" spans="1:16" x14ac:dyDescent="0.25">
      <c r="A108" s="30"/>
      <c r="B108" s="142" t="s">
        <v>539</v>
      </c>
      <c r="C108" s="30"/>
      <c r="D108" s="30" t="s">
        <v>493</v>
      </c>
      <c r="E108" s="30"/>
      <c r="F108" s="30" t="s">
        <v>58</v>
      </c>
      <c r="G108" s="30" t="s">
        <v>560</v>
      </c>
      <c r="H108" s="30">
        <v>79493</v>
      </c>
      <c r="I108" s="30">
        <v>79493</v>
      </c>
      <c r="J108" s="30">
        <f t="shared" si="11"/>
        <v>0</v>
      </c>
      <c r="K108" s="30">
        <v>18</v>
      </c>
      <c r="L108" s="17">
        <f t="shared" si="12"/>
        <v>0</v>
      </c>
      <c r="M108" s="17" t="s">
        <v>137</v>
      </c>
      <c r="N108" s="30" t="s">
        <v>540</v>
      </c>
      <c r="O108" s="30" t="s">
        <v>541</v>
      </c>
      <c r="P108" s="30"/>
    </row>
    <row r="109" spans="1:16" s="16" customFormat="1" x14ac:dyDescent="0.25">
      <c r="A109" s="93"/>
      <c r="B109" s="144" t="s">
        <v>542</v>
      </c>
      <c r="C109" s="15"/>
      <c r="D109" s="15" t="s">
        <v>507</v>
      </c>
      <c r="E109" s="15"/>
      <c r="F109" s="15" t="s">
        <v>332</v>
      </c>
      <c r="G109" s="15" t="s">
        <v>495</v>
      </c>
      <c r="H109" s="15">
        <v>79493</v>
      </c>
      <c r="I109" s="15">
        <v>79499</v>
      </c>
      <c r="J109" s="15">
        <f t="shared" si="11"/>
        <v>6</v>
      </c>
      <c r="K109" s="15">
        <v>18</v>
      </c>
      <c r="L109" s="15">
        <f t="shared" si="12"/>
        <v>108</v>
      </c>
      <c r="M109" s="15" t="s">
        <v>137</v>
      </c>
      <c r="N109" s="15" t="s">
        <v>289</v>
      </c>
      <c r="O109" s="15" t="s">
        <v>543</v>
      </c>
      <c r="P109" s="15"/>
    </row>
    <row r="110" spans="1:16" s="16" customFormat="1" x14ac:dyDescent="0.25">
      <c r="A110" s="93"/>
      <c r="B110" s="144" t="s">
        <v>542</v>
      </c>
      <c r="C110" s="15"/>
      <c r="D110" s="15" t="s">
        <v>507</v>
      </c>
      <c r="E110" s="15"/>
      <c r="F110" s="15" t="s">
        <v>332</v>
      </c>
      <c r="G110" s="15" t="s">
        <v>495</v>
      </c>
      <c r="H110" s="15">
        <v>79499</v>
      </c>
      <c r="I110" s="15">
        <v>79505</v>
      </c>
      <c r="J110" s="15">
        <f t="shared" si="11"/>
        <v>6</v>
      </c>
      <c r="K110" s="15">
        <v>18</v>
      </c>
      <c r="L110" s="15">
        <f t="shared" si="12"/>
        <v>108</v>
      </c>
      <c r="M110" s="15" t="s">
        <v>137</v>
      </c>
      <c r="N110" s="15" t="s">
        <v>213</v>
      </c>
      <c r="O110" s="15" t="s">
        <v>531</v>
      </c>
      <c r="P110" s="15"/>
    </row>
    <row r="111" spans="1:16" x14ac:dyDescent="0.25">
      <c r="A111" s="93"/>
      <c r="B111" s="144" t="s">
        <v>546</v>
      </c>
      <c r="C111" s="15"/>
      <c r="D111" s="15" t="s">
        <v>507</v>
      </c>
      <c r="E111" s="15"/>
      <c r="F111" s="15" t="s">
        <v>332</v>
      </c>
      <c r="G111" s="15" t="s">
        <v>495</v>
      </c>
      <c r="H111" s="15">
        <v>79505</v>
      </c>
      <c r="I111" s="15">
        <v>79511</v>
      </c>
      <c r="J111" s="15">
        <f t="shared" si="11"/>
        <v>6</v>
      </c>
      <c r="K111" s="15">
        <v>18</v>
      </c>
      <c r="L111" s="15">
        <f t="shared" si="12"/>
        <v>108</v>
      </c>
      <c r="M111" s="15" t="s">
        <v>137</v>
      </c>
      <c r="N111" s="163" t="s">
        <v>20</v>
      </c>
      <c r="O111" s="15" t="s">
        <v>547</v>
      </c>
      <c r="P111" s="30"/>
    </row>
    <row r="112" spans="1:16" s="16" customFormat="1" x14ac:dyDescent="0.25">
      <c r="A112" s="93"/>
      <c r="B112" s="144" t="s">
        <v>548</v>
      </c>
      <c r="C112" s="15"/>
      <c r="D112" s="15" t="s">
        <v>507</v>
      </c>
      <c r="E112" s="15"/>
      <c r="F112" s="15" t="s">
        <v>332</v>
      </c>
      <c r="G112" s="15" t="s">
        <v>495</v>
      </c>
      <c r="H112" s="15">
        <v>79511</v>
      </c>
      <c r="I112" s="15">
        <v>79517</v>
      </c>
      <c r="J112" s="15">
        <f t="shared" si="11"/>
        <v>6</v>
      </c>
      <c r="K112" s="15">
        <v>18</v>
      </c>
      <c r="L112" s="15">
        <f t="shared" si="12"/>
        <v>108</v>
      </c>
      <c r="M112" s="15" t="s">
        <v>137</v>
      </c>
      <c r="N112" s="15" t="s">
        <v>549</v>
      </c>
      <c r="O112" s="15" t="s">
        <v>550</v>
      </c>
      <c r="P112" s="15"/>
    </row>
    <row r="113" spans="1:22" s="16" customFormat="1" x14ac:dyDescent="0.25">
      <c r="A113" s="17"/>
      <c r="B113" s="142" t="s">
        <v>548</v>
      </c>
      <c r="C113" s="17"/>
      <c r="D113" s="30" t="s">
        <v>450</v>
      </c>
      <c r="E113" s="30"/>
      <c r="F113" s="17" t="s">
        <v>58</v>
      </c>
      <c r="G113" s="17" t="s">
        <v>667</v>
      </c>
      <c r="H113" s="17">
        <v>79517</v>
      </c>
      <c r="I113" s="17">
        <v>79523</v>
      </c>
      <c r="J113" s="17">
        <f t="shared" si="11"/>
        <v>6</v>
      </c>
      <c r="K113" s="17">
        <v>18</v>
      </c>
      <c r="L113" s="17">
        <f t="shared" si="12"/>
        <v>108</v>
      </c>
      <c r="M113" s="17" t="s">
        <v>137</v>
      </c>
      <c r="N113" s="17" t="s">
        <v>41</v>
      </c>
      <c r="O113" s="17" t="s">
        <v>66</v>
      </c>
      <c r="P113" s="15"/>
    </row>
    <row r="114" spans="1:22" x14ac:dyDescent="0.25">
      <c r="A114" s="30"/>
      <c r="B114" s="142" t="s">
        <v>548</v>
      </c>
      <c r="C114" s="30"/>
      <c r="D114" s="30" t="s">
        <v>28</v>
      </c>
      <c r="E114" s="30"/>
      <c r="F114" s="17" t="s">
        <v>49</v>
      </c>
      <c r="G114" s="30" t="s">
        <v>573</v>
      </c>
      <c r="H114" s="17">
        <v>79523</v>
      </c>
      <c r="I114" s="30">
        <v>79533</v>
      </c>
      <c r="J114" s="30">
        <f t="shared" si="11"/>
        <v>10</v>
      </c>
      <c r="K114" s="17">
        <v>18</v>
      </c>
      <c r="L114" s="17">
        <f t="shared" si="12"/>
        <v>180</v>
      </c>
      <c r="M114" s="17" t="s">
        <v>137</v>
      </c>
      <c r="N114" s="30" t="s">
        <v>80</v>
      </c>
      <c r="O114" s="30" t="s">
        <v>461</v>
      </c>
      <c r="P114" s="30"/>
    </row>
    <row r="115" spans="1:22" x14ac:dyDescent="0.25">
      <c r="A115" s="30"/>
      <c r="B115" s="142" t="s">
        <v>595</v>
      </c>
      <c r="C115" s="30"/>
      <c r="D115" s="30" t="s">
        <v>28</v>
      </c>
      <c r="E115" s="30"/>
      <c r="F115" s="17" t="s">
        <v>49</v>
      </c>
      <c r="G115" s="30" t="s">
        <v>556</v>
      </c>
      <c r="H115" s="30">
        <v>79533</v>
      </c>
      <c r="I115" s="30">
        <v>79543</v>
      </c>
      <c r="J115" s="30">
        <f t="shared" si="11"/>
        <v>10</v>
      </c>
      <c r="K115" s="30">
        <v>18</v>
      </c>
      <c r="L115" s="30">
        <f t="shared" si="12"/>
        <v>180</v>
      </c>
      <c r="M115" s="17" t="s">
        <v>137</v>
      </c>
      <c r="N115" s="30" t="s">
        <v>479</v>
      </c>
      <c r="O115" s="30" t="s">
        <v>183</v>
      </c>
      <c r="P115" s="30"/>
    </row>
    <row r="116" spans="1:22" x14ac:dyDescent="0.25">
      <c r="A116" s="30"/>
      <c r="B116" s="161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</row>
    <row r="117" spans="1:22" ht="47.25" x14ac:dyDescent="0.25">
      <c r="A117" s="41" t="s">
        <v>148</v>
      </c>
      <c r="B117" s="141" t="s">
        <v>0</v>
      </c>
      <c r="C117" s="42" t="s">
        <v>206</v>
      </c>
      <c r="D117" s="43" t="s">
        <v>1</v>
      </c>
      <c r="E117" s="43" t="s">
        <v>2</v>
      </c>
      <c r="F117" s="43" t="s">
        <v>202</v>
      </c>
      <c r="G117" s="43" t="s">
        <v>4</v>
      </c>
      <c r="H117" s="59" t="s">
        <v>5</v>
      </c>
      <c r="I117" s="60" t="s">
        <v>6</v>
      </c>
      <c r="J117" s="60" t="s">
        <v>7</v>
      </c>
      <c r="K117" s="61" t="s">
        <v>203</v>
      </c>
      <c r="L117" s="62" t="s">
        <v>204</v>
      </c>
      <c r="M117" s="53" t="s">
        <v>10</v>
      </c>
      <c r="N117" s="54" t="s">
        <v>8</v>
      </c>
      <c r="O117" s="55" t="s">
        <v>9</v>
      </c>
      <c r="P117" s="56" t="s">
        <v>11</v>
      </c>
      <c r="Q117" s="56" t="s">
        <v>205</v>
      </c>
      <c r="R117" s="57" t="s">
        <v>147</v>
      </c>
      <c r="S117" s="58" t="s">
        <v>12</v>
      </c>
      <c r="T117" s="48" t="s">
        <v>14</v>
      </c>
      <c r="U117" s="46" t="s">
        <v>149</v>
      </c>
      <c r="V117" s="46" t="s">
        <v>15</v>
      </c>
    </row>
    <row r="118" spans="1:22" x14ac:dyDescent="0.25">
      <c r="A118" s="17"/>
      <c r="B118" s="142" t="s">
        <v>596</v>
      </c>
      <c r="C118" s="17" t="s">
        <v>597</v>
      </c>
      <c r="D118" s="17" t="s">
        <v>598</v>
      </c>
      <c r="E118" s="17"/>
      <c r="F118" s="17" t="s">
        <v>58</v>
      </c>
      <c r="G118" s="17" t="s">
        <v>599</v>
      </c>
      <c r="H118" s="17">
        <v>79291</v>
      </c>
      <c r="I118" s="17">
        <v>79304</v>
      </c>
      <c r="J118" s="17">
        <f>SUM(I118-H118)</f>
        <v>13</v>
      </c>
      <c r="K118" s="17">
        <v>18</v>
      </c>
      <c r="L118" s="17">
        <f>J118*K118</f>
        <v>234</v>
      </c>
      <c r="M118" s="17" t="s">
        <v>137</v>
      </c>
      <c r="N118" s="17" t="s">
        <v>31</v>
      </c>
      <c r="O118" s="17" t="s">
        <v>50</v>
      </c>
      <c r="P118" s="30"/>
    </row>
    <row r="119" spans="1:22" x14ac:dyDescent="0.25">
      <c r="A119" s="30"/>
      <c r="B119" s="142" t="s">
        <v>600</v>
      </c>
      <c r="C119" s="30"/>
      <c r="D119" s="30" t="s">
        <v>601</v>
      </c>
      <c r="E119" s="30"/>
      <c r="F119" s="17" t="s">
        <v>58</v>
      </c>
      <c r="G119" s="30" t="s">
        <v>620</v>
      </c>
      <c r="H119" s="30">
        <v>79613</v>
      </c>
      <c r="I119" s="30">
        <v>79646</v>
      </c>
      <c r="J119" s="17">
        <f>SUM(I119-H119)</f>
        <v>33</v>
      </c>
      <c r="K119" s="17">
        <v>18</v>
      </c>
      <c r="L119" s="17">
        <f>J119*K119</f>
        <v>594</v>
      </c>
      <c r="M119" s="17" t="s">
        <v>137</v>
      </c>
      <c r="N119" s="30" t="s">
        <v>602</v>
      </c>
      <c r="O119" s="30" t="s">
        <v>231</v>
      </c>
      <c r="P119" s="30"/>
    </row>
    <row r="120" spans="1:22" s="16" customFormat="1" x14ac:dyDescent="0.25">
      <c r="A120" s="93"/>
      <c r="B120" s="144" t="s">
        <v>603</v>
      </c>
      <c r="C120" s="15"/>
      <c r="D120" s="15" t="s">
        <v>403</v>
      </c>
      <c r="E120" s="15"/>
      <c r="F120" s="15" t="s">
        <v>404</v>
      </c>
      <c r="G120" s="15" t="s">
        <v>505</v>
      </c>
      <c r="H120" s="15">
        <v>79646</v>
      </c>
      <c r="I120" s="15">
        <v>79658</v>
      </c>
      <c r="J120" s="15">
        <f>SUM(I120-H120)</f>
        <v>12</v>
      </c>
      <c r="K120" s="15">
        <v>18</v>
      </c>
      <c r="L120" s="15">
        <f>J120*K120</f>
        <v>216</v>
      </c>
      <c r="M120" s="15" t="s">
        <v>137</v>
      </c>
      <c r="N120" s="15" t="s">
        <v>604</v>
      </c>
      <c r="O120" s="15" t="s">
        <v>307</v>
      </c>
      <c r="P120" s="15"/>
    </row>
    <row r="121" spans="1:22" x14ac:dyDescent="0.25">
      <c r="A121" s="30"/>
      <c r="B121" s="142" t="s">
        <v>603</v>
      </c>
      <c r="C121" s="30"/>
      <c r="D121" s="30" t="s">
        <v>28</v>
      </c>
      <c r="E121" s="30"/>
      <c r="F121" s="17" t="s">
        <v>49</v>
      </c>
      <c r="G121" s="30" t="s">
        <v>605</v>
      </c>
      <c r="H121" s="30">
        <v>79658</v>
      </c>
      <c r="I121" s="30">
        <v>79662</v>
      </c>
      <c r="J121" s="17">
        <f>SUM(I121-H121)</f>
        <v>4</v>
      </c>
      <c r="K121" s="17">
        <v>18</v>
      </c>
      <c r="L121" s="17">
        <f>J121*K121</f>
        <v>72</v>
      </c>
      <c r="M121" s="30" t="s">
        <v>535</v>
      </c>
      <c r="N121" s="30" t="s">
        <v>479</v>
      </c>
      <c r="O121" s="30" t="s">
        <v>472</v>
      </c>
      <c r="P121" s="30"/>
    </row>
    <row r="122" spans="1:22" s="16" customFormat="1" x14ac:dyDescent="0.25">
      <c r="A122" s="93"/>
      <c r="B122" s="144" t="s">
        <v>603</v>
      </c>
      <c r="C122" s="15"/>
      <c r="D122" s="15" t="s">
        <v>607</v>
      </c>
      <c r="E122" s="15"/>
      <c r="F122" s="15" t="s">
        <v>607</v>
      </c>
      <c r="G122" s="15" t="s">
        <v>608</v>
      </c>
      <c r="H122" s="15">
        <v>79662</v>
      </c>
      <c r="I122" s="15">
        <v>79663</v>
      </c>
      <c r="J122" s="15">
        <f>SUM(I122-H122)</f>
        <v>1</v>
      </c>
      <c r="K122" s="15">
        <v>18</v>
      </c>
      <c r="L122" s="15">
        <f>J122*K122</f>
        <v>18</v>
      </c>
      <c r="M122" s="15" t="s">
        <v>137</v>
      </c>
      <c r="N122" s="15" t="s">
        <v>461</v>
      </c>
      <c r="O122" s="15" t="s">
        <v>37</v>
      </c>
      <c r="P122" s="15"/>
    </row>
    <row r="123" spans="1:22" x14ac:dyDescent="0.25">
      <c r="A123" s="30"/>
      <c r="B123" s="142" t="s">
        <v>612</v>
      </c>
      <c r="C123" s="30"/>
      <c r="D123" s="30" t="s">
        <v>450</v>
      </c>
      <c r="E123" s="30"/>
      <c r="F123" s="30" t="s">
        <v>58</v>
      </c>
      <c r="G123" s="30" t="s">
        <v>621</v>
      </c>
      <c r="H123" s="30">
        <v>79663</v>
      </c>
      <c r="I123" s="30">
        <v>79669</v>
      </c>
      <c r="J123" s="15">
        <f t="shared" ref="J123:J176" si="13">SUM(I123-H123)</f>
        <v>6</v>
      </c>
      <c r="K123" s="15">
        <v>18</v>
      </c>
      <c r="L123" s="15">
        <f t="shared" ref="L123:L176" si="14">J123*K123</f>
        <v>108</v>
      </c>
      <c r="M123" s="15" t="s">
        <v>137</v>
      </c>
      <c r="N123" s="30" t="s">
        <v>609</v>
      </c>
      <c r="O123" s="30" t="s">
        <v>190</v>
      </c>
      <c r="P123" s="30"/>
    </row>
    <row r="124" spans="1:22" x14ac:dyDescent="0.25">
      <c r="A124" s="30"/>
      <c r="B124" s="142" t="s">
        <v>612</v>
      </c>
      <c r="C124" s="30"/>
      <c r="D124" s="30" t="s">
        <v>28</v>
      </c>
      <c r="E124" s="30"/>
      <c r="F124" s="17" t="s">
        <v>49</v>
      </c>
      <c r="G124" s="30" t="s">
        <v>613</v>
      </c>
      <c r="H124" s="30">
        <v>79670</v>
      </c>
      <c r="I124" s="30">
        <v>79676</v>
      </c>
      <c r="J124" s="15">
        <f t="shared" si="13"/>
        <v>6</v>
      </c>
      <c r="K124" s="15">
        <v>18</v>
      </c>
      <c r="L124" s="15">
        <f t="shared" si="14"/>
        <v>108</v>
      </c>
      <c r="M124" s="15" t="s">
        <v>137</v>
      </c>
      <c r="N124" s="30" t="s">
        <v>69</v>
      </c>
      <c r="O124" s="30" t="s">
        <v>247</v>
      </c>
      <c r="P124" s="30"/>
    </row>
    <row r="125" spans="1:22" x14ac:dyDescent="0.25">
      <c r="A125" s="93"/>
      <c r="B125" s="144" t="s">
        <v>614</v>
      </c>
      <c r="C125" s="30"/>
      <c r="D125" s="15" t="s">
        <v>507</v>
      </c>
      <c r="E125" s="30"/>
      <c r="F125" s="15" t="s">
        <v>332</v>
      </c>
      <c r="G125" s="17" t="s">
        <v>615</v>
      </c>
      <c r="H125" s="30">
        <v>79676</v>
      </c>
      <c r="I125" s="30">
        <v>79700</v>
      </c>
      <c r="J125" s="15">
        <f t="shared" si="13"/>
        <v>24</v>
      </c>
      <c r="K125" s="15">
        <v>18</v>
      </c>
      <c r="L125" s="15">
        <f t="shared" si="14"/>
        <v>432</v>
      </c>
      <c r="M125" s="15" t="s">
        <v>137</v>
      </c>
      <c r="N125" s="30" t="s">
        <v>32</v>
      </c>
      <c r="O125" s="30" t="s">
        <v>610</v>
      </c>
      <c r="P125" s="30"/>
    </row>
    <row r="126" spans="1:22" x14ac:dyDescent="0.25">
      <c r="A126" s="93"/>
      <c r="B126" s="144" t="s">
        <v>614</v>
      </c>
      <c r="C126" s="30"/>
      <c r="D126" s="15" t="s">
        <v>507</v>
      </c>
      <c r="E126" s="30"/>
      <c r="F126" s="15" t="s">
        <v>332</v>
      </c>
      <c r="G126" s="15" t="s">
        <v>495</v>
      </c>
      <c r="H126" s="30">
        <v>79700</v>
      </c>
      <c r="I126" s="30">
        <v>79706</v>
      </c>
      <c r="J126" s="15">
        <f t="shared" si="13"/>
        <v>6</v>
      </c>
      <c r="K126" s="15">
        <v>18</v>
      </c>
      <c r="L126" s="15">
        <f t="shared" si="14"/>
        <v>108</v>
      </c>
      <c r="M126" s="15" t="s">
        <v>137</v>
      </c>
      <c r="N126" s="30" t="s">
        <v>611</v>
      </c>
      <c r="O126" s="30"/>
      <c r="P126" s="30"/>
    </row>
    <row r="127" spans="1:22" x14ac:dyDescent="0.25">
      <c r="A127" s="30"/>
      <c r="B127" s="142" t="s">
        <v>616</v>
      </c>
      <c r="C127" s="30"/>
      <c r="D127" s="30" t="s">
        <v>450</v>
      </c>
      <c r="E127" s="30"/>
      <c r="F127" s="30" t="s">
        <v>58</v>
      </c>
      <c r="G127" s="30" t="s">
        <v>608</v>
      </c>
      <c r="H127" s="30">
        <v>79706</v>
      </c>
      <c r="I127" s="30">
        <v>79706</v>
      </c>
      <c r="J127" s="30">
        <f t="shared" si="13"/>
        <v>0</v>
      </c>
      <c r="K127" s="17">
        <v>18</v>
      </c>
      <c r="L127" s="17">
        <f t="shared" si="14"/>
        <v>0</v>
      </c>
      <c r="M127" s="17" t="s">
        <v>137</v>
      </c>
      <c r="N127" s="30" t="s">
        <v>196</v>
      </c>
      <c r="O127" s="30" t="s">
        <v>26</v>
      </c>
      <c r="P127" s="30"/>
    </row>
    <row r="128" spans="1:22" x14ac:dyDescent="0.25">
      <c r="A128" s="30"/>
      <c r="B128" s="142" t="s">
        <v>616</v>
      </c>
      <c r="C128" s="30"/>
      <c r="D128" s="17" t="s">
        <v>450</v>
      </c>
      <c r="E128" s="30"/>
      <c r="F128" s="30" t="s">
        <v>58</v>
      </c>
      <c r="G128" s="17" t="s">
        <v>618</v>
      </c>
      <c r="H128" s="30">
        <v>79706</v>
      </c>
      <c r="I128" s="30">
        <v>79729</v>
      </c>
      <c r="J128" s="30">
        <f t="shared" si="13"/>
        <v>23</v>
      </c>
      <c r="K128" s="17">
        <v>18</v>
      </c>
      <c r="L128" s="17">
        <f t="shared" si="14"/>
        <v>414</v>
      </c>
      <c r="M128" s="17" t="s">
        <v>137</v>
      </c>
      <c r="N128" s="30" t="s">
        <v>32</v>
      </c>
      <c r="O128" s="30" t="s">
        <v>350</v>
      </c>
      <c r="P128" s="30"/>
    </row>
    <row r="129" spans="1:16" x14ac:dyDescent="0.25">
      <c r="A129" s="30"/>
      <c r="B129" s="142" t="s">
        <v>616</v>
      </c>
      <c r="C129" s="30"/>
      <c r="D129" s="30" t="s">
        <v>28</v>
      </c>
      <c r="E129" s="30"/>
      <c r="F129" s="17" t="s">
        <v>49</v>
      </c>
      <c r="G129" s="30" t="s">
        <v>617</v>
      </c>
      <c r="H129" s="30">
        <v>79729</v>
      </c>
      <c r="I129" s="30">
        <v>79733</v>
      </c>
      <c r="J129" s="30">
        <f t="shared" si="13"/>
        <v>4</v>
      </c>
      <c r="K129" s="17">
        <v>18</v>
      </c>
      <c r="L129" s="17">
        <f t="shared" si="14"/>
        <v>72</v>
      </c>
      <c r="M129" s="17" t="s">
        <v>137</v>
      </c>
      <c r="N129" s="30" t="s">
        <v>216</v>
      </c>
      <c r="O129" s="30" t="s">
        <v>37</v>
      </c>
      <c r="P129" s="30"/>
    </row>
    <row r="130" spans="1:16" x14ac:dyDescent="0.25">
      <c r="A130" s="93"/>
      <c r="B130" s="142" t="s">
        <v>645</v>
      </c>
      <c r="C130" s="30"/>
      <c r="D130" s="15" t="s">
        <v>607</v>
      </c>
      <c r="E130" s="30"/>
      <c r="F130" s="15" t="s">
        <v>607</v>
      </c>
      <c r="G130" s="15" t="s">
        <v>646</v>
      </c>
      <c r="H130" s="30">
        <v>79733</v>
      </c>
      <c r="I130" s="30">
        <v>79739</v>
      </c>
      <c r="J130" s="30">
        <f t="shared" si="13"/>
        <v>6</v>
      </c>
      <c r="K130" s="17">
        <v>18</v>
      </c>
      <c r="L130" s="17">
        <f t="shared" si="14"/>
        <v>108</v>
      </c>
      <c r="M130" s="17" t="s">
        <v>137</v>
      </c>
      <c r="N130" s="30" t="s">
        <v>66</v>
      </c>
      <c r="O130" s="30" t="s">
        <v>541</v>
      </c>
      <c r="P130" s="30"/>
    </row>
    <row r="131" spans="1:16" x14ac:dyDescent="0.25">
      <c r="A131" s="30"/>
      <c r="B131" s="142" t="s">
        <v>645</v>
      </c>
      <c r="C131" s="30"/>
      <c r="D131" s="30" t="s">
        <v>647</v>
      </c>
      <c r="E131" s="30"/>
      <c r="F131" s="30" t="s">
        <v>58</v>
      </c>
      <c r="G131" s="30" t="s">
        <v>648</v>
      </c>
      <c r="H131" s="30">
        <v>79739</v>
      </c>
      <c r="I131" s="30">
        <v>79755</v>
      </c>
      <c r="J131" s="30">
        <f t="shared" si="13"/>
        <v>16</v>
      </c>
      <c r="K131" s="17">
        <v>18</v>
      </c>
      <c r="L131" s="17">
        <f t="shared" si="14"/>
        <v>288</v>
      </c>
      <c r="M131" s="17" t="s">
        <v>137</v>
      </c>
      <c r="N131" s="30" t="s">
        <v>247</v>
      </c>
      <c r="O131" s="30" t="s">
        <v>63</v>
      </c>
      <c r="P131" s="30"/>
    </row>
    <row r="132" spans="1:16" x14ac:dyDescent="0.25">
      <c r="A132" s="93"/>
      <c r="B132" s="142" t="s">
        <v>650</v>
      </c>
      <c r="C132" s="30"/>
      <c r="D132" s="15" t="s">
        <v>607</v>
      </c>
      <c r="E132" s="30"/>
      <c r="F132" s="15" t="s">
        <v>607</v>
      </c>
      <c r="G132" s="30" t="s">
        <v>649</v>
      </c>
      <c r="H132" s="30">
        <v>79755</v>
      </c>
      <c r="I132" s="30">
        <v>79771</v>
      </c>
      <c r="J132" s="30">
        <f t="shared" si="13"/>
        <v>16</v>
      </c>
      <c r="K132" s="17">
        <v>18</v>
      </c>
      <c r="L132" s="17">
        <f t="shared" si="14"/>
        <v>288</v>
      </c>
      <c r="M132" s="17" t="s">
        <v>137</v>
      </c>
      <c r="N132" s="30" t="s">
        <v>20</v>
      </c>
      <c r="O132" s="30" t="s">
        <v>652</v>
      </c>
      <c r="P132" s="30"/>
    </row>
    <row r="133" spans="1:16" x14ac:dyDescent="0.25">
      <c r="A133" s="30"/>
      <c r="B133" s="142" t="s">
        <v>651</v>
      </c>
      <c r="C133" s="30"/>
      <c r="D133" s="30" t="s">
        <v>647</v>
      </c>
      <c r="E133" s="30"/>
      <c r="F133" s="30" t="s">
        <v>58</v>
      </c>
      <c r="G133" s="30" t="s">
        <v>653</v>
      </c>
      <c r="H133" s="30">
        <v>79771</v>
      </c>
      <c r="I133" s="30">
        <v>79777</v>
      </c>
      <c r="J133" s="30">
        <f t="shared" si="13"/>
        <v>6</v>
      </c>
      <c r="K133" s="17">
        <v>18</v>
      </c>
      <c r="L133" s="17">
        <f t="shared" si="14"/>
        <v>108</v>
      </c>
      <c r="M133" s="17" t="s">
        <v>137</v>
      </c>
      <c r="N133" s="30" t="s">
        <v>26</v>
      </c>
      <c r="O133" s="30" t="s">
        <v>339</v>
      </c>
      <c r="P133" s="30"/>
    </row>
    <row r="134" spans="1:16" x14ac:dyDescent="0.25">
      <c r="A134" s="30"/>
      <c r="B134" s="142" t="s">
        <v>651</v>
      </c>
      <c r="C134" s="30"/>
      <c r="D134" s="30" t="s">
        <v>647</v>
      </c>
      <c r="E134" s="30"/>
      <c r="F134" s="30" t="s">
        <v>58</v>
      </c>
      <c r="G134" s="30" t="s">
        <v>654</v>
      </c>
      <c r="H134" s="30">
        <v>79777</v>
      </c>
      <c r="I134" s="30">
        <v>79783</v>
      </c>
      <c r="J134" s="30">
        <f t="shared" si="13"/>
        <v>6</v>
      </c>
      <c r="K134" s="17">
        <v>18</v>
      </c>
      <c r="L134" s="17">
        <f t="shared" si="14"/>
        <v>108</v>
      </c>
      <c r="M134" s="17" t="s">
        <v>137</v>
      </c>
      <c r="N134" s="30" t="s">
        <v>457</v>
      </c>
      <c r="O134" s="30" t="s">
        <v>330</v>
      </c>
      <c r="P134" s="30"/>
    </row>
    <row r="135" spans="1:16" x14ac:dyDescent="0.25">
      <c r="A135" s="30"/>
      <c r="B135" s="142" t="s">
        <v>651</v>
      </c>
      <c r="C135" s="30"/>
      <c r="D135" s="30" t="s">
        <v>647</v>
      </c>
      <c r="E135" s="30"/>
      <c r="F135" s="30" t="s">
        <v>58</v>
      </c>
      <c r="G135" s="30" t="s">
        <v>654</v>
      </c>
      <c r="H135" s="30">
        <v>79783</v>
      </c>
      <c r="I135" s="30">
        <v>79791</v>
      </c>
      <c r="J135" s="30">
        <f t="shared" si="13"/>
        <v>8</v>
      </c>
      <c r="K135" s="17">
        <v>18</v>
      </c>
      <c r="L135" s="17">
        <f t="shared" si="14"/>
        <v>144</v>
      </c>
      <c r="M135" s="17" t="s">
        <v>137</v>
      </c>
      <c r="N135" s="30" t="s">
        <v>66</v>
      </c>
      <c r="O135" s="30" t="s">
        <v>655</v>
      </c>
      <c r="P135" s="30"/>
    </row>
    <row r="136" spans="1:16" ht="15.75" thickBot="1" x14ac:dyDescent="0.3">
      <c r="A136" s="30"/>
      <c r="B136" s="142" t="s">
        <v>668</v>
      </c>
      <c r="C136" s="30"/>
      <c r="D136" s="30" t="s">
        <v>669</v>
      </c>
      <c r="E136" s="30"/>
      <c r="F136" s="30" t="s">
        <v>58</v>
      </c>
      <c r="G136" s="30" t="s">
        <v>670</v>
      </c>
      <c r="H136" s="30">
        <v>79791</v>
      </c>
      <c r="I136" s="30">
        <v>79812</v>
      </c>
      <c r="J136" s="30">
        <f t="shared" si="13"/>
        <v>21</v>
      </c>
      <c r="K136" s="17">
        <v>18</v>
      </c>
      <c r="L136" s="17">
        <f t="shared" si="14"/>
        <v>378</v>
      </c>
      <c r="M136" s="17" t="s">
        <v>137</v>
      </c>
      <c r="N136" s="30" t="s">
        <v>60</v>
      </c>
      <c r="O136" s="30" t="s">
        <v>37</v>
      </c>
      <c r="P136" s="30"/>
    </row>
    <row r="137" spans="1:16" ht="15.75" thickBot="1" x14ac:dyDescent="0.3">
      <c r="A137" s="30"/>
      <c r="B137" s="142" t="s">
        <v>671</v>
      </c>
      <c r="C137" s="30"/>
      <c r="D137" s="30" t="s">
        <v>298</v>
      </c>
      <c r="E137" s="30"/>
      <c r="F137" s="30" t="s">
        <v>58</v>
      </c>
      <c r="G137" s="169" t="s">
        <v>672</v>
      </c>
      <c r="H137" s="30">
        <v>79812</v>
      </c>
      <c r="I137" s="30">
        <v>79819</v>
      </c>
      <c r="J137" s="30">
        <f t="shared" si="13"/>
        <v>7</v>
      </c>
      <c r="K137" s="17">
        <v>18</v>
      </c>
      <c r="L137" s="17">
        <f t="shared" si="14"/>
        <v>126</v>
      </c>
      <c r="M137" s="17" t="s">
        <v>137</v>
      </c>
      <c r="N137" s="30" t="s">
        <v>55</v>
      </c>
      <c r="O137" s="30" t="s">
        <v>673</v>
      </c>
      <c r="P137" s="30"/>
    </row>
    <row r="138" spans="1:16" x14ac:dyDescent="0.25">
      <c r="A138" s="93"/>
      <c r="B138" s="142" t="s">
        <v>676</v>
      </c>
      <c r="C138" s="30"/>
      <c r="D138" s="30" t="s">
        <v>674</v>
      </c>
      <c r="E138" s="30"/>
      <c r="F138" s="30" t="s">
        <v>175</v>
      </c>
      <c r="G138" s="30" t="s">
        <v>675</v>
      </c>
      <c r="H138" s="30">
        <v>79819</v>
      </c>
      <c r="I138" s="30">
        <v>79825</v>
      </c>
      <c r="J138" s="30">
        <f t="shared" si="13"/>
        <v>6</v>
      </c>
      <c r="K138" s="17">
        <v>18</v>
      </c>
      <c r="L138" s="17">
        <f t="shared" si="14"/>
        <v>108</v>
      </c>
      <c r="M138" s="17" t="s">
        <v>137</v>
      </c>
      <c r="N138" s="30" t="s">
        <v>113</v>
      </c>
      <c r="O138" s="30" t="s">
        <v>310</v>
      </c>
      <c r="P138" s="30"/>
    </row>
    <row r="139" spans="1:16" x14ac:dyDescent="0.25">
      <c r="A139" s="93"/>
      <c r="B139" s="142" t="s">
        <v>676</v>
      </c>
      <c r="C139" s="30"/>
      <c r="D139" s="30" t="s">
        <v>691</v>
      </c>
      <c r="E139" s="30"/>
      <c r="F139" s="30" t="s">
        <v>404</v>
      </c>
      <c r="G139" s="30" t="s">
        <v>505</v>
      </c>
      <c r="H139" s="30">
        <v>79825</v>
      </c>
      <c r="I139" s="30">
        <v>79837</v>
      </c>
      <c r="J139" s="30">
        <f t="shared" si="13"/>
        <v>12</v>
      </c>
      <c r="K139" s="17">
        <v>18</v>
      </c>
      <c r="L139" s="17">
        <f t="shared" si="14"/>
        <v>216</v>
      </c>
      <c r="M139" s="17" t="s">
        <v>137</v>
      </c>
      <c r="N139" s="30" t="s">
        <v>20</v>
      </c>
      <c r="O139" s="30" t="s">
        <v>53</v>
      </c>
      <c r="P139" s="30"/>
    </row>
    <row r="140" spans="1:16" x14ac:dyDescent="0.25">
      <c r="A140" s="30"/>
      <c r="B140" s="142" t="s">
        <v>677</v>
      </c>
      <c r="C140" s="30"/>
      <c r="D140" s="30" t="s">
        <v>669</v>
      </c>
      <c r="E140" s="30"/>
      <c r="F140" s="30" t="s">
        <v>58</v>
      </c>
      <c r="G140" s="30" t="s">
        <v>678</v>
      </c>
      <c r="H140" s="30">
        <v>79839</v>
      </c>
      <c r="I140" s="30">
        <v>79859</v>
      </c>
      <c r="J140" s="30">
        <f t="shared" si="13"/>
        <v>20</v>
      </c>
      <c r="K140" s="17">
        <v>18</v>
      </c>
      <c r="L140" s="17">
        <f t="shared" si="14"/>
        <v>360</v>
      </c>
      <c r="M140" s="40" t="s">
        <v>381</v>
      </c>
      <c r="N140" s="30" t="s">
        <v>237</v>
      </c>
      <c r="O140" s="30" t="s">
        <v>260</v>
      </c>
      <c r="P140" s="30"/>
    </row>
    <row r="141" spans="1:16" x14ac:dyDescent="0.25">
      <c r="A141" s="30"/>
      <c r="B141" s="142" t="s">
        <v>679</v>
      </c>
      <c r="C141" s="30"/>
      <c r="D141" s="30" t="s">
        <v>545</v>
      </c>
      <c r="E141" s="30"/>
      <c r="F141" s="30" t="s">
        <v>58</v>
      </c>
      <c r="G141" s="30" t="s">
        <v>680</v>
      </c>
      <c r="H141" s="30">
        <v>79859</v>
      </c>
      <c r="I141" s="30">
        <v>79912</v>
      </c>
      <c r="J141" s="30">
        <f t="shared" si="13"/>
        <v>53</v>
      </c>
      <c r="K141" s="17">
        <v>18</v>
      </c>
      <c r="L141" s="17">
        <f t="shared" si="14"/>
        <v>954</v>
      </c>
      <c r="M141" s="40" t="s">
        <v>681</v>
      </c>
      <c r="N141" s="30" t="s">
        <v>512</v>
      </c>
      <c r="O141" s="30" t="s">
        <v>682</v>
      </c>
      <c r="P141" s="30"/>
    </row>
    <row r="142" spans="1:16" x14ac:dyDescent="0.25">
      <c r="A142" s="30"/>
      <c r="B142" s="142" t="s">
        <v>683</v>
      </c>
      <c r="C142" s="30"/>
      <c r="D142" s="30" t="s">
        <v>298</v>
      </c>
      <c r="E142" s="30"/>
      <c r="F142" s="30" t="s">
        <v>58</v>
      </c>
      <c r="G142" s="30" t="s">
        <v>686</v>
      </c>
      <c r="H142" s="30">
        <v>79912</v>
      </c>
      <c r="I142" s="30">
        <v>79936</v>
      </c>
      <c r="J142" s="30">
        <f t="shared" si="13"/>
        <v>24</v>
      </c>
      <c r="K142" s="17">
        <v>18</v>
      </c>
      <c r="L142" s="17">
        <f t="shared" si="14"/>
        <v>432</v>
      </c>
      <c r="M142" s="40" t="s">
        <v>381</v>
      </c>
      <c r="N142" s="30" t="s">
        <v>684</v>
      </c>
      <c r="O142" s="30" t="s">
        <v>685</v>
      </c>
      <c r="P142" s="30"/>
    </row>
    <row r="143" spans="1:16" x14ac:dyDescent="0.25">
      <c r="A143" s="93"/>
      <c r="B143" s="142" t="s">
        <v>687</v>
      </c>
      <c r="C143" s="30"/>
      <c r="D143" s="30" t="s">
        <v>691</v>
      </c>
      <c r="E143" s="30"/>
      <c r="F143" s="30" t="s">
        <v>404</v>
      </c>
      <c r="G143" s="30" t="s">
        <v>505</v>
      </c>
      <c r="H143" s="30">
        <v>79936</v>
      </c>
      <c r="I143" s="30">
        <v>79947</v>
      </c>
      <c r="J143" s="30">
        <f t="shared" si="13"/>
        <v>11</v>
      </c>
      <c r="K143" s="17">
        <v>18</v>
      </c>
      <c r="L143" s="17">
        <f t="shared" si="14"/>
        <v>198</v>
      </c>
      <c r="M143" s="17" t="s">
        <v>137</v>
      </c>
      <c r="N143" s="30" t="s">
        <v>21</v>
      </c>
      <c r="O143" s="30" t="s">
        <v>225</v>
      </c>
      <c r="P143" s="30"/>
    </row>
    <row r="144" spans="1:16" x14ac:dyDescent="0.25">
      <c r="A144" s="17"/>
      <c r="B144" s="142" t="s">
        <v>687</v>
      </c>
      <c r="C144" s="30"/>
      <c r="D144" s="30" t="s">
        <v>450</v>
      </c>
      <c r="E144" s="30"/>
      <c r="F144" s="30" t="s">
        <v>58</v>
      </c>
      <c r="G144" s="30" t="s">
        <v>720</v>
      </c>
      <c r="H144" s="30">
        <v>79948</v>
      </c>
      <c r="I144" s="30">
        <v>79967</v>
      </c>
      <c r="J144" s="30">
        <f t="shared" si="13"/>
        <v>19</v>
      </c>
      <c r="K144" s="17">
        <v>18</v>
      </c>
      <c r="L144" s="17">
        <f t="shared" si="14"/>
        <v>342</v>
      </c>
      <c r="M144" s="17" t="s">
        <v>137</v>
      </c>
      <c r="N144" s="30" t="s">
        <v>260</v>
      </c>
      <c r="O144" s="30" t="s">
        <v>36</v>
      </c>
      <c r="P144" s="30"/>
    </row>
    <row r="145" spans="1:16" x14ac:dyDescent="0.25">
      <c r="A145" s="17"/>
      <c r="B145" s="142" t="s">
        <v>688</v>
      </c>
      <c r="C145" s="30"/>
      <c r="D145" s="30" t="s">
        <v>450</v>
      </c>
      <c r="E145" s="30"/>
      <c r="F145" s="30" t="s">
        <v>58</v>
      </c>
      <c r="G145" s="30" t="s">
        <v>690</v>
      </c>
      <c r="H145" s="30">
        <v>79968</v>
      </c>
      <c r="I145" s="30">
        <v>79989</v>
      </c>
      <c r="J145" s="30">
        <f t="shared" si="13"/>
        <v>21</v>
      </c>
      <c r="K145" s="17">
        <v>18</v>
      </c>
      <c r="L145" s="17">
        <f t="shared" si="14"/>
        <v>378</v>
      </c>
      <c r="M145" s="17" t="s">
        <v>137</v>
      </c>
      <c r="N145" s="30" t="s">
        <v>51</v>
      </c>
      <c r="O145" s="30" t="s">
        <v>689</v>
      </c>
      <c r="P145" s="30"/>
    </row>
    <row r="146" spans="1:16" x14ac:dyDescent="0.25">
      <c r="A146" s="30"/>
      <c r="B146" s="142" t="s">
        <v>692</v>
      </c>
      <c r="C146" s="30"/>
      <c r="D146" s="30" t="s">
        <v>669</v>
      </c>
      <c r="E146" s="30"/>
      <c r="F146" s="30" t="s">
        <v>58</v>
      </c>
      <c r="G146" s="30" t="s">
        <v>693</v>
      </c>
      <c r="H146" s="30">
        <v>79990</v>
      </c>
      <c r="I146" s="30">
        <v>79996</v>
      </c>
      <c r="J146" s="30">
        <f t="shared" si="13"/>
        <v>6</v>
      </c>
      <c r="K146" s="17">
        <v>18</v>
      </c>
      <c r="L146" s="17">
        <f t="shared" si="14"/>
        <v>108</v>
      </c>
      <c r="M146" s="17" t="s">
        <v>137</v>
      </c>
      <c r="N146" s="30" t="s">
        <v>210</v>
      </c>
      <c r="O146" s="30" t="s">
        <v>200</v>
      </c>
      <c r="P146" s="30"/>
    </row>
    <row r="147" spans="1:16" x14ac:dyDescent="0.25">
      <c r="A147" s="30"/>
      <c r="B147" s="142" t="s">
        <v>692</v>
      </c>
      <c r="C147" s="30"/>
      <c r="D147" s="30" t="s">
        <v>669</v>
      </c>
      <c r="E147" s="30"/>
      <c r="F147" s="30" t="s">
        <v>58</v>
      </c>
      <c r="G147" s="30" t="s">
        <v>694</v>
      </c>
      <c r="H147" s="30">
        <v>79996</v>
      </c>
      <c r="I147" s="30">
        <v>80027</v>
      </c>
      <c r="J147" s="30">
        <f t="shared" si="13"/>
        <v>31</v>
      </c>
      <c r="K147" s="17">
        <v>18</v>
      </c>
      <c r="L147" s="17">
        <f t="shared" si="14"/>
        <v>558</v>
      </c>
      <c r="M147" s="17" t="s">
        <v>137</v>
      </c>
      <c r="N147" s="30" t="s">
        <v>331</v>
      </c>
      <c r="O147" s="30" t="s">
        <v>230</v>
      </c>
      <c r="P147" s="30"/>
    </row>
    <row r="148" spans="1:16" x14ac:dyDescent="0.25">
      <c r="A148" s="93"/>
      <c r="B148" s="142" t="s">
        <v>695</v>
      </c>
      <c r="C148" s="30"/>
      <c r="D148" s="15" t="s">
        <v>779</v>
      </c>
      <c r="E148" s="30"/>
      <c r="F148" s="15" t="s">
        <v>332</v>
      </c>
      <c r="G148" s="30" t="s">
        <v>696</v>
      </c>
      <c r="H148" s="30">
        <v>80027</v>
      </c>
      <c r="I148" s="17">
        <v>80035</v>
      </c>
      <c r="J148" s="30">
        <f t="shared" si="13"/>
        <v>8</v>
      </c>
      <c r="K148" s="17">
        <v>18</v>
      </c>
      <c r="L148" s="17">
        <f t="shared" si="14"/>
        <v>144</v>
      </c>
      <c r="M148" s="17" t="s">
        <v>137</v>
      </c>
      <c r="N148" s="30" t="s">
        <v>697</v>
      </c>
      <c r="O148" s="30" t="s">
        <v>604</v>
      </c>
      <c r="P148" s="30"/>
    </row>
    <row r="149" spans="1:16" x14ac:dyDescent="0.25">
      <c r="A149" s="30"/>
      <c r="B149" s="142" t="s">
        <v>695</v>
      </c>
      <c r="C149" s="30"/>
      <c r="D149" s="30" t="s">
        <v>450</v>
      </c>
      <c r="E149" s="30"/>
      <c r="F149" s="30" t="s">
        <v>58</v>
      </c>
      <c r="G149" s="30" t="s">
        <v>698</v>
      </c>
      <c r="H149" s="17">
        <v>80035</v>
      </c>
      <c r="I149" s="30">
        <v>80052</v>
      </c>
      <c r="J149" s="30">
        <f t="shared" si="13"/>
        <v>17</v>
      </c>
      <c r="K149" s="17">
        <v>18</v>
      </c>
      <c r="L149" s="17">
        <f t="shared" si="14"/>
        <v>306</v>
      </c>
      <c r="M149" s="17" t="s">
        <v>137</v>
      </c>
      <c r="N149" s="30" t="s">
        <v>602</v>
      </c>
      <c r="O149" s="30" t="s">
        <v>37</v>
      </c>
      <c r="P149" s="30"/>
    </row>
    <row r="150" spans="1:16" x14ac:dyDescent="0.25">
      <c r="A150" s="30"/>
      <c r="B150" s="142" t="s">
        <v>702</v>
      </c>
      <c r="C150" s="30"/>
      <c r="D150" s="30" t="s">
        <v>450</v>
      </c>
      <c r="E150" s="30"/>
      <c r="F150" s="30" t="s">
        <v>58</v>
      </c>
      <c r="G150" s="30" t="s">
        <v>710</v>
      </c>
      <c r="H150" s="30">
        <v>80053</v>
      </c>
      <c r="I150" s="30">
        <v>80059</v>
      </c>
      <c r="J150" s="30">
        <f t="shared" si="13"/>
        <v>6</v>
      </c>
      <c r="K150" s="17">
        <v>18</v>
      </c>
      <c r="L150" s="17">
        <f t="shared" si="14"/>
        <v>108</v>
      </c>
      <c r="M150" s="17" t="s">
        <v>137</v>
      </c>
      <c r="N150" s="30"/>
      <c r="O150" s="30" t="s">
        <v>350</v>
      </c>
      <c r="P150" s="30"/>
    </row>
    <row r="151" spans="1:16" x14ac:dyDescent="0.25">
      <c r="A151" s="30"/>
      <c r="B151" s="142" t="s">
        <v>702</v>
      </c>
      <c r="C151" s="30"/>
      <c r="D151" s="30" t="s">
        <v>450</v>
      </c>
      <c r="E151" s="30"/>
      <c r="F151" s="30" t="s">
        <v>58</v>
      </c>
      <c r="G151" s="30" t="s">
        <v>705</v>
      </c>
      <c r="H151" s="30">
        <v>80059</v>
      </c>
      <c r="I151" s="30">
        <v>80087</v>
      </c>
      <c r="J151" s="30">
        <f t="shared" si="13"/>
        <v>28</v>
      </c>
      <c r="K151" s="17">
        <v>18</v>
      </c>
      <c r="L151" s="17">
        <f t="shared" si="14"/>
        <v>504</v>
      </c>
      <c r="M151" s="17" t="s">
        <v>137</v>
      </c>
      <c r="N151" s="30" t="s">
        <v>246</v>
      </c>
      <c r="O151" s="30" t="s">
        <v>165</v>
      </c>
      <c r="P151" s="30"/>
    </row>
    <row r="152" spans="1:16" x14ac:dyDescent="0.25">
      <c r="A152" s="30"/>
      <c r="B152" s="142" t="s">
        <v>702</v>
      </c>
      <c r="C152" s="30"/>
      <c r="D152" s="30" t="s">
        <v>450</v>
      </c>
      <c r="E152" s="30"/>
      <c r="F152" s="30" t="s">
        <v>58</v>
      </c>
      <c r="G152" s="30" t="s">
        <v>703</v>
      </c>
      <c r="H152" s="30">
        <v>80087</v>
      </c>
      <c r="I152" s="30">
        <v>80105</v>
      </c>
      <c r="J152" s="30">
        <f t="shared" si="13"/>
        <v>18</v>
      </c>
      <c r="K152" s="17">
        <v>18</v>
      </c>
      <c r="L152" s="17">
        <f t="shared" si="14"/>
        <v>324</v>
      </c>
      <c r="M152" s="17" t="s">
        <v>704</v>
      </c>
      <c r="N152" s="30" t="s">
        <v>461</v>
      </c>
      <c r="O152" s="30" t="s">
        <v>426</v>
      </c>
      <c r="P152" s="30"/>
    </row>
    <row r="153" spans="1:16" x14ac:dyDescent="0.25">
      <c r="A153" s="93"/>
      <c r="B153" s="142" t="s">
        <v>706</v>
      </c>
      <c r="C153" s="30"/>
      <c r="D153" s="15" t="s">
        <v>779</v>
      </c>
      <c r="E153" s="30"/>
      <c r="F153" s="15" t="s">
        <v>332</v>
      </c>
      <c r="G153" s="30" t="s">
        <v>707</v>
      </c>
      <c r="H153" s="30">
        <v>80105</v>
      </c>
      <c r="I153" s="30">
        <v>80141</v>
      </c>
      <c r="J153" s="30">
        <f t="shared" si="13"/>
        <v>36</v>
      </c>
      <c r="K153" s="17">
        <v>18</v>
      </c>
      <c r="L153" s="17">
        <f t="shared" si="14"/>
        <v>648</v>
      </c>
      <c r="M153" s="17" t="s">
        <v>137</v>
      </c>
      <c r="N153" s="30" t="s">
        <v>709</v>
      </c>
      <c r="O153" s="30" t="s">
        <v>708</v>
      </c>
      <c r="P153" s="30"/>
    </row>
    <row r="154" spans="1:16" x14ac:dyDescent="0.25">
      <c r="A154" s="30"/>
      <c r="B154" s="142" t="s">
        <v>712</v>
      </c>
      <c r="C154" s="30"/>
      <c r="D154" s="30" t="s">
        <v>298</v>
      </c>
      <c r="E154" s="30"/>
      <c r="F154" s="30" t="s">
        <v>58</v>
      </c>
      <c r="G154" s="30" t="s">
        <v>711</v>
      </c>
      <c r="H154" s="30">
        <v>80141</v>
      </c>
      <c r="I154" s="30">
        <v>80145</v>
      </c>
      <c r="J154" s="30">
        <f t="shared" si="13"/>
        <v>4</v>
      </c>
      <c r="K154" s="17">
        <v>18</v>
      </c>
      <c r="L154" s="17">
        <f t="shared" si="14"/>
        <v>72</v>
      </c>
      <c r="M154" s="17" t="s">
        <v>137</v>
      </c>
      <c r="N154" s="30" t="s">
        <v>310</v>
      </c>
      <c r="O154" s="30" t="s">
        <v>307</v>
      </c>
      <c r="P154" s="30"/>
    </row>
    <row r="155" spans="1:16" x14ac:dyDescent="0.25">
      <c r="A155" s="93"/>
      <c r="B155" s="142" t="s">
        <v>712</v>
      </c>
      <c r="C155" s="30"/>
      <c r="D155" s="30" t="s">
        <v>713</v>
      </c>
      <c r="E155" s="30"/>
      <c r="F155" s="15" t="s">
        <v>332</v>
      </c>
      <c r="G155" s="30" t="s">
        <v>714</v>
      </c>
      <c r="H155" s="30">
        <v>80145</v>
      </c>
      <c r="I155" s="30">
        <v>80158</v>
      </c>
      <c r="J155" s="30">
        <f t="shared" si="13"/>
        <v>13</v>
      </c>
      <c r="K155" s="17">
        <v>18</v>
      </c>
      <c r="L155" s="17">
        <f t="shared" si="14"/>
        <v>234</v>
      </c>
      <c r="M155" s="17" t="s">
        <v>137</v>
      </c>
      <c r="N155" s="30" t="s">
        <v>72</v>
      </c>
      <c r="O155" s="30" t="s">
        <v>715</v>
      </c>
      <c r="P155" s="30"/>
    </row>
    <row r="156" spans="1:16" x14ac:dyDescent="0.25">
      <c r="A156" s="30"/>
      <c r="B156" s="142" t="s">
        <v>718</v>
      </c>
      <c r="C156" s="30"/>
      <c r="D156" s="30" t="s">
        <v>450</v>
      </c>
      <c r="E156" s="30"/>
      <c r="F156" s="30" t="s">
        <v>58</v>
      </c>
      <c r="G156" s="30" t="s">
        <v>717</v>
      </c>
      <c r="H156" s="30">
        <v>80158</v>
      </c>
      <c r="I156" s="30">
        <v>80158</v>
      </c>
      <c r="J156" s="30">
        <f t="shared" si="13"/>
        <v>0</v>
      </c>
      <c r="K156" s="17">
        <v>18</v>
      </c>
      <c r="L156" s="17">
        <f t="shared" si="14"/>
        <v>0</v>
      </c>
      <c r="M156" s="17" t="s">
        <v>137</v>
      </c>
      <c r="N156" s="30" t="s">
        <v>20</v>
      </c>
      <c r="O156" s="30" t="s">
        <v>289</v>
      </c>
      <c r="P156" s="30"/>
    </row>
    <row r="157" spans="1:16" x14ac:dyDescent="0.25">
      <c r="A157" s="30"/>
      <c r="B157" s="142" t="s">
        <v>718</v>
      </c>
      <c r="C157" s="30"/>
      <c r="D157" s="30" t="s">
        <v>450</v>
      </c>
      <c r="E157" s="30"/>
      <c r="F157" s="30" t="s">
        <v>58</v>
      </c>
      <c r="G157" s="30" t="s">
        <v>727</v>
      </c>
      <c r="H157" s="30">
        <v>80158</v>
      </c>
      <c r="I157" s="30">
        <v>80164</v>
      </c>
      <c r="J157" s="30">
        <f t="shared" si="13"/>
        <v>6</v>
      </c>
      <c r="K157" s="17">
        <v>18</v>
      </c>
      <c r="L157" s="17">
        <f t="shared" si="14"/>
        <v>108</v>
      </c>
      <c r="M157" s="17" t="s">
        <v>137</v>
      </c>
      <c r="N157" s="30" t="s">
        <v>452</v>
      </c>
      <c r="O157" s="30" t="s">
        <v>250</v>
      </c>
      <c r="P157" s="30"/>
    </row>
    <row r="158" spans="1:16" x14ac:dyDescent="0.25">
      <c r="A158" s="30"/>
      <c r="B158" s="142" t="s">
        <v>718</v>
      </c>
      <c r="C158" s="30"/>
      <c r="D158" s="30" t="s">
        <v>450</v>
      </c>
      <c r="E158" s="30"/>
      <c r="F158" s="30" t="s">
        <v>58</v>
      </c>
      <c r="G158" s="30" t="s">
        <v>719</v>
      </c>
      <c r="H158" s="30">
        <v>80164</v>
      </c>
      <c r="I158" s="30">
        <v>80183</v>
      </c>
      <c r="J158" s="30">
        <f t="shared" si="13"/>
        <v>19</v>
      </c>
      <c r="K158" s="17">
        <v>18</v>
      </c>
      <c r="L158" s="17">
        <f t="shared" si="14"/>
        <v>342</v>
      </c>
      <c r="M158" s="17" t="s">
        <v>381</v>
      </c>
      <c r="N158" s="30" t="s">
        <v>54</v>
      </c>
      <c r="O158" s="30" t="s">
        <v>60</v>
      </c>
      <c r="P158" s="30"/>
    </row>
    <row r="159" spans="1:16" x14ac:dyDescent="0.25">
      <c r="A159" s="93"/>
      <c r="B159" s="142" t="s">
        <v>718</v>
      </c>
      <c r="C159" s="30"/>
      <c r="D159" s="30" t="s">
        <v>450</v>
      </c>
      <c r="E159" s="30"/>
      <c r="F159" s="30" t="s">
        <v>58</v>
      </c>
      <c r="G159" s="30" t="s">
        <v>726</v>
      </c>
      <c r="H159" s="30">
        <v>80183</v>
      </c>
      <c r="I159" s="30">
        <v>80189</v>
      </c>
      <c r="J159" s="30">
        <f t="shared" si="13"/>
        <v>6</v>
      </c>
      <c r="K159" s="17">
        <v>18</v>
      </c>
      <c r="L159" s="17">
        <f t="shared" si="14"/>
        <v>108</v>
      </c>
      <c r="M159" s="17" t="s">
        <v>137</v>
      </c>
      <c r="N159" s="30" t="s">
        <v>60</v>
      </c>
      <c r="O159" s="30" t="s">
        <v>34</v>
      </c>
      <c r="P159" s="30"/>
    </row>
    <row r="160" spans="1:16" s="20" customFormat="1" x14ac:dyDescent="0.25">
      <c r="A160" s="17"/>
      <c r="B160" s="142" t="s">
        <v>718</v>
      </c>
      <c r="C160" s="17"/>
      <c r="D160" s="17" t="s">
        <v>450</v>
      </c>
      <c r="E160" s="17"/>
      <c r="F160" s="17" t="s">
        <v>58</v>
      </c>
      <c r="G160" s="17" t="s">
        <v>721</v>
      </c>
      <c r="H160" s="17">
        <v>80189</v>
      </c>
      <c r="I160" s="17">
        <v>80207</v>
      </c>
      <c r="J160" s="17">
        <f t="shared" si="13"/>
        <v>18</v>
      </c>
      <c r="K160" s="17">
        <v>18</v>
      </c>
      <c r="L160" s="17">
        <f t="shared" si="14"/>
        <v>324</v>
      </c>
      <c r="M160" s="17" t="s">
        <v>137</v>
      </c>
      <c r="N160" s="17" t="s">
        <v>72</v>
      </c>
      <c r="O160" s="17" t="s">
        <v>221</v>
      </c>
      <c r="P160" s="17"/>
    </row>
    <row r="161" spans="1:16" s="20" customFormat="1" x14ac:dyDescent="0.25">
      <c r="A161" s="17"/>
      <c r="B161" s="142" t="s">
        <v>723</v>
      </c>
      <c r="C161" s="17"/>
      <c r="D161" s="17" t="s">
        <v>450</v>
      </c>
      <c r="E161" s="17"/>
      <c r="F161" s="17" t="s">
        <v>58</v>
      </c>
      <c r="G161" s="17" t="s">
        <v>722</v>
      </c>
      <c r="H161" s="17">
        <v>80207</v>
      </c>
      <c r="I161" s="17">
        <v>80233</v>
      </c>
      <c r="J161" s="17">
        <f t="shared" si="13"/>
        <v>26</v>
      </c>
      <c r="K161" s="17">
        <v>18</v>
      </c>
      <c r="L161" s="17">
        <f t="shared" si="14"/>
        <v>468</v>
      </c>
      <c r="M161" s="17" t="s">
        <v>137</v>
      </c>
      <c r="N161" s="17" t="s">
        <v>459</v>
      </c>
      <c r="O161" s="17" t="s">
        <v>330</v>
      </c>
      <c r="P161" s="17"/>
    </row>
    <row r="162" spans="1:16" x14ac:dyDescent="0.25">
      <c r="A162" s="30"/>
      <c r="B162" s="142" t="s">
        <v>723</v>
      </c>
      <c r="C162" s="30"/>
      <c r="D162" s="30" t="s">
        <v>450</v>
      </c>
      <c r="E162" s="30"/>
      <c r="F162" s="30" t="s">
        <v>58</v>
      </c>
      <c r="G162" s="40" t="s">
        <v>724</v>
      </c>
      <c r="H162" s="30">
        <v>80234</v>
      </c>
      <c r="I162" s="30">
        <v>80253</v>
      </c>
      <c r="J162" s="30">
        <f t="shared" si="13"/>
        <v>19</v>
      </c>
      <c r="K162" s="17">
        <v>18</v>
      </c>
      <c r="L162" s="17">
        <f t="shared" si="14"/>
        <v>342</v>
      </c>
      <c r="M162" s="17" t="s">
        <v>137</v>
      </c>
      <c r="N162" s="30" t="s">
        <v>34</v>
      </c>
      <c r="O162" s="30" t="s">
        <v>655</v>
      </c>
      <c r="P162" s="30"/>
    </row>
    <row r="163" spans="1:16" x14ac:dyDescent="0.25">
      <c r="A163" s="30"/>
      <c r="B163" s="142" t="s">
        <v>723</v>
      </c>
      <c r="C163" s="30"/>
      <c r="D163" s="30" t="s">
        <v>450</v>
      </c>
      <c r="E163" s="30"/>
      <c r="F163" s="30" t="s">
        <v>58</v>
      </c>
      <c r="G163" s="30" t="s">
        <v>725</v>
      </c>
      <c r="H163" s="30">
        <v>80254</v>
      </c>
      <c r="I163" s="30">
        <v>80270</v>
      </c>
      <c r="J163" s="30">
        <f t="shared" si="13"/>
        <v>16</v>
      </c>
      <c r="K163" s="17">
        <v>18</v>
      </c>
      <c r="L163" s="17">
        <f t="shared" si="14"/>
        <v>288</v>
      </c>
      <c r="M163" s="17" t="s">
        <v>137</v>
      </c>
      <c r="N163" s="30" t="s">
        <v>389</v>
      </c>
      <c r="O163" s="30" t="s">
        <v>682</v>
      </c>
      <c r="P163" s="30"/>
    </row>
    <row r="164" spans="1:16" x14ac:dyDescent="0.25">
      <c r="A164" s="30"/>
      <c r="B164" s="142" t="s">
        <v>728</v>
      </c>
      <c r="C164" s="30"/>
      <c r="D164" s="30" t="s">
        <v>691</v>
      </c>
      <c r="E164" s="30"/>
      <c r="F164" s="30" t="s">
        <v>404</v>
      </c>
      <c r="G164" s="30" t="s">
        <v>505</v>
      </c>
      <c r="H164" s="30">
        <v>80270</v>
      </c>
      <c r="I164" s="30">
        <v>80281</v>
      </c>
      <c r="J164" s="30">
        <f t="shared" si="13"/>
        <v>11</v>
      </c>
      <c r="K164" s="17">
        <v>18</v>
      </c>
      <c r="L164" s="17">
        <f t="shared" si="14"/>
        <v>198</v>
      </c>
      <c r="M164" s="17" t="s">
        <v>137</v>
      </c>
      <c r="N164" s="30" t="s">
        <v>485</v>
      </c>
      <c r="O164" s="30" t="s">
        <v>318</v>
      </c>
      <c r="P164" s="30"/>
    </row>
    <row r="165" spans="1:16" x14ac:dyDescent="0.25">
      <c r="A165" s="30"/>
      <c r="B165" s="142" t="s">
        <v>728</v>
      </c>
      <c r="C165" s="30"/>
      <c r="D165" s="30" t="s">
        <v>450</v>
      </c>
      <c r="E165" s="30"/>
      <c r="F165" s="30" t="s">
        <v>58</v>
      </c>
      <c r="G165" s="30" t="s">
        <v>30</v>
      </c>
      <c r="H165" s="30">
        <v>80281</v>
      </c>
      <c r="I165" s="30">
        <v>80292</v>
      </c>
      <c r="J165" s="30">
        <f t="shared" si="13"/>
        <v>11</v>
      </c>
      <c r="K165" s="17">
        <v>18</v>
      </c>
      <c r="L165" s="17">
        <f t="shared" si="14"/>
        <v>198</v>
      </c>
      <c r="M165" s="17" t="s">
        <v>137</v>
      </c>
      <c r="N165" s="30" t="s">
        <v>213</v>
      </c>
      <c r="O165" s="30" t="s">
        <v>47</v>
      </c>
      <c r="P165" s="30"/>
    </row>
    <row r="166" spans="1:16" x14ac:dyDescent="0.25">
      <c r="A166" s="30"/>
      <c r="B166" s="142" t="s">
        <v>729</v>
      </c>
      <c r="C166" s="30"/>
      <c r="D166" s="30" t="s">
        <v>691</v>
      </c>
      <c r="E166" s="30"/>
      <c r="F166" s="30" t="s">
        <v>404</v>
      </c>
      <c r="G166" s="30" t="s">
        <v>505</v>
      </c>
      <c r="H166" s="30">
        <v>80292</v>
      </c>
      <c r="I166" s="30">
        <v>80307</v>
      </c>
      <c r="J166" s="30">
        <f t="shared" si="13"/>
        <v>15</v>
      </c>
      <c r="K166" s="17">
        <v>18</v>
      </c>
      <c r="L166" s="17">
        <f t="shared" si="14"/>
        <v>270</v>
      </c>
      <c r="M166" s="17" t="s">
        <v>137</v>
      </c>
      <c r="N166" s="30" t="s">
        <v>319</v>
      </c>
      <c r="O166" s="30" t="s">
        <v>127</v>
      </c>
      <c r="P166" s="30"/>
    </row>
    <row r="167" spans="1:16" x14ac:dyDescent="0.25">
      <c r="A167" s="93"/>
      <c r="B167" s="142" t="s">
        <v>729</v>
      </c>
      <c r="C167" s="30"/>
      <c r="D167" s="30" t="s">
        <v>713</v>
      </c>
      <c r="E167" s="30"/>
      <c r="F167" s="15" t="s">
        <v>332</v>
      </c>
      <c r="G167" s="40" t="s">
        <v>730</v>
      </c>
      <c r="H167" s="30">
        <v>80307</v>
      </c>
      <c r="I167" s="30">
        <v>80314</v>
      </c>
      <c r="J167" s="30">
        <f t="shared" si="13"/>
        <v>7</v>
      </c>
      <c r="K167" s="17">
        <v>18</v>
      </c>
      <c r="L167" s="17">
        <f t="shared" si="14"/>
        <v>126</v>
      </c>
      <c r="M167" s="17" t="s">
        <v>137</v>
      </c>
      <c r="N167" s="30" t="s">
        <v>48</v>
      </c>
      <c r="O167" s="30" t="s">
        <v>60</v>
      </c>
      <c r="P167" s="30"/>
    </row>
    <row r="168" spans="1:16" x14ac:dyDescent="0.25">
      <c r="A168" s="30"/>
      <c r="B168" s="142" t="s">
        <v>729</v>
      </c>
      <c r="C168" s="30"/>
      <c r="D168" s="30" t="s">
        <v>450</v>
      </c>
      <c r="E168" s="30"/>
      <c r="F168" s="30" t="s">
        <v>58</v>
      </c>
      <c r="G168" s="30" t="s">
        <v>731</v>
      </c>
      <c r="H168" s="30">
        <v>80314</v>
      </c>
      <c r="I168" s="30">
        <v>80318</v>
      </c>
      <c r="J168" s="30">
        <f t="shared" si="13"/>
        <v>4</v>
      </c>
      <c r="K168" s="17">
        <v>18</v>
      </c>
      <c r="L168" s="17">
        <f t="shared" si="14"/>
        <v>72</v>
      </c>
      <c r="M168" s="17" t="s">
        <v>137</v>
      </c>
      <c r="N168" s="30" t="s">
        <v>331</v>
      </c>
      <c r="O168" s="30" t="s">
        <v>732</v>
      </c>
      <c r="P168" s="30"/>
    </row>
    <row r="169" spans="1:16" x14ac:dyDescent="0.25">
      <c r="A169" s="30"/>
      <c r="B169" s="142" t="s">
        <v>729</v>
      </c>
      <c r="C169" s="30"/>
      <c r="D169" s="30" t="s">
        <v>450</v>
      </c>
      <c r="E169" s="30"/>
      <c r="F169" s="30" t="s">
        <v>58</v>
      </c>
      <c r="G169" s="40" t="s">
        <v>734</v>
      </c>
      <c r="H169" s="30">
        <v>80318</v>
      </c>
      <c r="I169" s="30">
        <v>80355</v>
      </c>
      <c r="J169" s="30">
        <f t="shared" si="13"/>
        <v>37</v>
      </c>
      <c r="K169" s="17">
        <v>18</v>
      </c>
      <c r="L169" s="17">
        <f t="shared" si="14"/>
        <v>666</v>
      </c>
      <c r="M169" s="17" t="s">
        <v>137</v>
      </c>
      <c r="N169" s="30" t="s">
        <v>338</v>
      </c>
      <c r="O169" s="30" t="s">
        <v>733</v>
      </c>
      <c r="P169" s="30"/>
    </row>
    <row r="170" spans="1:16" x14ac:dyDescent="0.25">
      <c r="A170" s="30"/>
      <c r="B170" s="142" t="s">
        <v>735</v>
      </c>
      <c r="C170" s="30"/>
      <c r="D170" s="30" t="s">
        <v>298</v>
      </c>
      <c r="E170" s="30"/>
      <c r="F170" s="30" t="s">
        <v>58</v>
      </c>
      <c r="G170" s="30" t="s">
        <v>736</v>
      </c>
      <c r="H170" s="30">
        <v>80358</v>
      </c>
      <c r="I170" s="30">
        <v>80371</v>
      </c>
      <c r="J170" s="30">
        <f t="shared" si="13"/>
        <v>13</v>
      </c>
      <c r="K170" s="17">
        <v>18</v>
      </c>
      <c r="L170" s="17">
        <f t="shared" si="14"/>
        <v>234</v>
      </c>
      <c r="M170" s="17" t="s">
        <v>137</v>
      </c>
      <c r="N170" s="30" t="s">
        <v>487</v>
      </c>
      <c r="O170" s="30" t="s">
        <v>241</v>
      </c>
      <c r="P170" s="30"/>
    </row>
    <row r="171" spans="1:16" x14ac:dyDescent="0.25">
      <c r="A171" s="30"/>
      <c r="B171" s="142" t="s">
        <v>735</v>
      </c>
      <c r="C171" s="30"/>
      <c r="D171" s="30" t="s">
        <v>450</v>
      </c>
      <c r="E171" s="30"/>
      <c r="F171" s="30" t="s">
        <v>58</v>
      </c>
      <c r="G171" s="30" t="s">
        <v>505</v>
      </c>
      <c r="H171" s="30">
        <v>80371</v>
      </c>
      <c r="I171" s="30">
        <v>80382</v>
      </c>
      <c r="J171" s="30">
        <f t="shared" si="13"/>
        <v>11</v>
      </c>
      <c r="K171" s="17">
        <v>18</v>
      </c>
      <c r="L171" s="17">
        <f t="shared" si="14"/>
        <v>198</v>
      </c>
      <c r="M171" s="30" t="s">
        <v>738</v>
      </c>
      <c r="N171" s="30" t="s">
        <v>26</v>
      </c>
      <c r="O171" s="30" t="s">
        <v>20</v>
      </c>
      <c r="P171" s="30"/>
    </row>
    <row r="172" spans="1:16" x14ac:dyDescent="0.25">
      <c r="A172" s="30"/>
      <c r="B172" s="142" t="s">
        <v>735</v>
      </c>
      <c r="C172" s="30"/>
      <c r="D172" s="30" t="s">
        <v>450</v>
      </c>
      <c r="E172" s="30"/>
      <c r="F172" s="30" t="s">
        <v>58</v>
      </c>
      <c r="G172" s="30" t="s">
        <v>737</v>
      </c>
      <c r="H172" s="30">
        <v>80382</v>
      </c>
      <c r="I172" s="30">
        <v>80427</v>
      </c>
      <c r="J172" s="30">
        <f t="shared" si="13"/>
        <v>45</v>
      </c>
      <c r="K172" s="17">
        <v>18</v>
      </c>
      <c r="L172" s="17">
        <f t="shared" si="14"/>
        <v>810</v>
      </c>
      <c r="M172" s="30" t="s">
        <v>738</v>
      </c>
      <c r="N172" s="30" t="s">
        <v>54</v>
      </c>
      <c r="O172" s="30"/>
      <c r="P172" s="30"/>
    </row>
    <row r="173" spans="1:16" x14ac:dyDescent="0.25">
      <c r="A173" s="30"/>
      <c r="B173" s="142" t="s">
        <v>735</v>
      </c>
      <c r="C173" s="30"/>
      <c r="D173" s="30" t="s">
        <v>450</v>
      </c>
      <c r="E173" s="30"/>
      <c r="F173" s="30" t="s">
        <v>58</v>
      </c>
      <c r="G173" s="30" t="s">
        <v>739</v>
      </c>
      <c r="H173" s="30">
        <v>80427</v>
      </c>
      <c r="I173" s="30">
        <v>80430</v>
      </c>
      <c r="J173" s="30">
        <f t="shared" si="13"/>
        <v>3</v>
      </c>
      <c r="K173" s="17">
        <v>18</v>
      </c>
      <c r="L173" s="17">
        <f t="shared" si="14"/>
        <v>54</v>
      </c>
      <c r="M173" s="30" t="s">
        <v>738</v>
      </c>
      <c r="N173" s="30" t="s">
        <v>744</v>
      </c>
      <c r="O173" s="30" t="s">
        <v>50</v>
      </c>
      <c r="P173" s="30"/>
    </row>
    <row r="174" spans="1:16" x14ac:dyDescent="0.25">
      <c r="A174" s="30"/>
      <c r="B174" s="142" t="s">
        <v>742</v>
      </c>
      <c r="C174" s="30"/>
      <c r="D174" s="30" t="s">
        <v>450</v>
      </c>
      <c r="E174" s="30"/>
      <c r="F174" s="30" t="s">
        <v>58</v>
      </c>
      <c r="G174" s="30" t="s">
        <v>740</v>
      </c>
      <c r="H174" s="30">
        <v>80431</v>
      </c>
      <c r="I174" s="30">
        <v>80449</v>
      </c>
      <c r="J174" s="30">
        <f t="shared" si="13"/>
        <v>18</v>
      </c>
      <c r="K174" s="17">
        <v>18</v>
      </c>
      <c r="L174" s="17">
        <f t="shared" si="14"/>
        <v>324</v>
      </c>
      <c r="M174" s="30" t="s">
        <v>743</v>
      </c>
      <c r="N174" s="30" t="s">
        <v>34</v>
      </c>
      <c r="O174" s="30" t="s">
        <v>689</v>
      </c>
      <c r="P174" s="30"/>
    </row>
    <row r="175" spans="1:16" x14ac:dyDescent="0.25">
      <c r="A175" s="30"/>
      <c r="B175" s="142" t="s">
        <v>742</v>
      </c>
      <c r="C175" s="30"/>
      <c r="D175" s="30" t="s">
        <v>450</v>
      </c>
      <c r="E175" s="30"/>
      <c r="F175" s="30" t="s">
        <v>58</v>
      </c>
      <c r="G175" s="30" t="s">
        <v>741</v>
      </c>
      <c r="H175" s="30">
        <v>80450</v>
      </c>
      <c r="I175" s="30">
        <v>80471</v>
      </c>
      <c r="J175" s="30">
        <f t="shared" si="13"/>
        <v>21</v>
      </c>
      <c r="K175" s="17">
        <v>18</v>
      </c>
      <c r="L175" s="17">
        <f t="shared" si="14"/>
        <v>378</v>
      </c>
      <c r="M175" s="30" t="s">
        <v>743</v>
      </c>
      <c r="N175" s="30" t="s">
        <v>167</v>
      </c>
      <c r="O175" s="30" t="s">
        <v>218</v>
      </c>
      <c r="P175" s="30"/>
    </row>
    <row r="176" spans="1:16" x14ac:dyDescent="0.25">
      <c r="A176" s="30"/>
      <c r="B176" s="142" t="s">
        <v>742</v>
      </c>
      <c r="C176" s="30"/>
      <c r="D176" s="30" t="s">
        <v>450</v>
      </c>
      <c r="E176" s="30"/>
      <c r="F176" s="30" t="s">
        <v>58</v>
      </c>
      <c r="G176" s="30"/>
      <c r="H176" s="30">
        <v>80471</v>
      </c>
      <c r="I176" s="30">
        <v>80532</v>
      </c>
      <c r="J176" s="30">
        <f t="shared" si="13"/>
        <v>61</v>
      </c>
      <c r="K176" s="17">
        <v>18</v>
      </c>
      <c r="L176" s="17">
        <f t="shared" si="14"/>
        <v>1098</v>
      </c>
      <c r="M176" s="30" t="s">
        <v>363</v>
      </c>
      <c r="N176" s="30" t="s">
        <v>237</v>
      </c>
      <c r="O176" s="30" t="s">
        <v>747</v>
      </c>
      <c r="P176" s="30"/>
    </row>
    <row r="177" spans="1:22" x14ac:dyDescent="0.25">
      <c r="A177" s="30"/>
      <c r="B177" s="161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</row>
    <row r="178" spans="1:22" ht="47.25" x14ac:dyDescent="0.25">
      <c r="A178" s="41" t="s">
        <v>148</v>
      </c>
      <c r="B178" s="141" t="s">
        <v>0</v>
      </c>
      <c r="C178" s="42" t="s">
        <v>206</v>
      </c>
      <c r="D178" s="43" t="s">
        <v>1</v>
      </c>
      <c r="E178" s="43" t="s">
        <v>2</v>
      </c>
      <c r="F178" s="43" t="s">
        <v>202</v>
      </c>
      <c r="G178" s="43" t="s">
        <v>4</v>
      </c>
      <c r="H178" s="59" t="s">
        <v>5</v>
      </c>
      <c r="I178" s="60" t="s">
        <v>6</v>
      </c>
      <c r="J178" s="60" t="s">
        <v>7</v>
      </c>
      <c r="K178" s="61" t="s">
        <v>203</v>
      </c>
      <c r="L178" s="62" t="s">
        <v>204</v>
      </c>
      <c r="M178" s="53" t="s">
        <v>10</v>
      </c>
      <c r="N178" s="54" t="s">
        <v>8</v>
      </c>
      <c r="O178" s="55" t="s">
        <v>9</v>
      </c>
      <c r="P178" s="56" t="s">
        <v>11</v>
      </c>
      <c r="Q178" s="56" t="s">
        <v>205</v>
      </c>
      <c r="R178" s="57" t="s">
        <v>147</v>
      </c>
      <c r="S178" s="58" t="s">
        <v>12</v>
      </c>
      <c r="T178" s="48" t="s">
        <v>14</v>
      </c>
      <c r="U178" s="46" t="s">
        <v>149</v>
      </c>
      <c r="V178" s="46" t="s">
        <v>15</v>
      </c>
    </row>
    <row r="179" spans="1:22" x14ac:dyDescent="0.25">
      <c r="A179" s="17"/>
      <c r="B179" s="142" t="s">
        <v>749</v>
      </c>
      <c r="C179" s="17" t="s">
        <v>750</v>
      </c>
      <c r="D179" s="30" t="s">
        <v>450</v>
      </c>
      <c r="E179" s="17"/>
      <c r="F179" s="17" t="s">
        <v>58</v>
      </c>
      <c r="G179" s="17" t="s">
        <v>296</v>
      </c>
      <c r="H179" s="17">
        <v>80533</v>
      </c>
      <c r="I179" s="17">
        <v>80549</v>
      </c>
      <c r="J179" s="17">
        <f t="shared" ref="J179:J234" si="15">SUM(I179-H179)</f>
        <v>16</v>
      </c>
      <c r="K179" s="17">
        <v>18</v>
      </c>
      <c r="L179" s="17">
        <f>J179*K179</f>
        <v>288</v>
      </c>
      <c r="M179" s="17" t="s">
        <v>752</v>
      </c>
      <c r="N179" s="17" t="s">
        <v>751</v>
      </c>
      <c r="O179" s="17" t="s">
        <v>32</v>
      </c>
      <c r="P179" s="30"/>
    </row>
    <row r="180" spans="1:22" x14ac:dyDescent="0.25">
      <c r="A180" s="30"/>
      <c r="B180" s="142" t="s">
        <v>749</v>
      </c>
      <c r="C180" s="30"/>
      <c r="D180" s="30" t="s">
        <v>450</v>
      </c>
      <c r="E180" s="30"/>
      <c r="F180" s="17" t="s">
        <v>58</v>
      </c>
      <c r="G180" s="30" t="s">
        <v>753</v>
      </c>
      <c r="H180" s="30">
        <v>80549</v>
      </c>
      <c r="I180" s="30">
        <v>80561</v>
      </c>
      <c r="J180" s="17">
        <f t="shared" si="15"/>
        <v>12</v>
      </c>
      <c r="K180" s="17">
        <v>18</v>
      </c>
      <c r="L180" s="17">
        <f t="shared" ref="L180:L234" si="16">J180*K180</f>
        <v>216</v>
      </c>
      <c r="M180" s="30" t="s">
        <v>381</v>
      </c>
      <c r="N180" s="30" t="s">
        <v>189</v>
      </c>
      <c r="O180" s="30" t="s">
        <v>260</v>
      </c>
      <c r="P180" s="30"/>
    </row>
    <row r="181" spans="1:22" x14ac:dyDescent="0.25">
      <c r="A181" s="30"/>
      <c r="B181" s="142" t="s">
        <v>754</v>
      </c>
      <c r="C181" s="30"/>
      <c r="D181" s="30" t="s">
        <v>450</v>
      </c>
      <c r="E181" s="30"/>
      <c r="F181" s="17" t="s">
        <v>58</v>
      </c>
      <c r="G181" s="30" t="s">
        <v>755</v>
      </c>
      <c r="H181" s="30">
        <v>80562</v>
      </c>
      <c r="I181" s="30">
        <v>80636</v>
      </c>
      <c r="J181" s="17">
        <f t="shared" si="15"/>
        <v>74</v>
      </c>
      <c r="K181" s="17">
        <v>18</v>
      </c>
      <c r="L181" s="17">
        <f t="shared" si="16"/>
        <v>1332</v>
      </c>
      <c r="M181" s="17" t="s">
        <v>137</v>
      </c>
      <c r="N181" s="30" t="s">
        <v>756</v>
      </c>
      <c r="O181" s="30" t="s">
        <v>241</v>
      </c>
      <c r="P181" s="30"/>
    </row>
    <row r="182" spans="1:22" x14ac:dyDescent="0.25">
      <c r="A182" s="93"/>
      <c r="B182" s="142" t="s">
        <v>754</v>
      </c>
      <c r="C182" s="30"/>
      <c r="D182" s="30" t="s">
        <v>761</v>
      </c>
      <c r="E182" s="30"/>
      <c r="F182" s="17" t="s">
        <v>404</v>
      </c>
      <c r="G182" s="30" t="s">
        <v>762</v>
      </c>
      <c r="H182" s="30">
        <v>80636</v>
      </c>
      <c r="I182" s="30">
        <v>80647</v>
      </c>
      <c r="J182" s="17">
        <f t="shared" si="15"/>
        <v>11</v>
      </c>
      <c r="K182" s="17">
        <v>18</v>
      </c>
      <c r="L182" s="17">
        <f t="shared" si="16"/>
        <v>198</v>
      </c>
      <c r="M182" s="17" t="s">
        <v>137</v>
      </c>
      <c r="N182" s="30" t="s">
        <v>757</v>
      </c>
      <c r="O182" s="30" t="s">
        <v>758</v>
      </c>
      <c r="P182" s="30"/>
    </row>
    <row r="183" spans="1:22" x14ac:dyDescent="0.25">
      <c r="A183" s="93"/>
      <c r="B183" s="142" t="s">
        <v>754</v>
      </c>
      <c r="C183" s="30"/>
      <c r="D183" s="30" t="s">
        <v>763</v>
      </c>
      <c r="E183" s="30"/>
      <c r="F183" s="30" t="s">
        <v>175</v>
      </c>
      <c r="G183" s="30" t="s">
        <v>764</v>
      </c>
      <c r="H183" s="30">
        <v>80648</v>
      </c>
      <c r="I183" s="30">
        <v>80654</v>
      </c>
      <c r="J183" s="30">
        <f t="shared" si="15"/>
        <v>6</v>
      </c>
      <c r="K183" s="17">
        <v>18</v>
      </c>
      <c r="L183" s="17">
        <f t="shared" si="16"/>
        <v>108</v>
      </c>
      <c r="M183" s="17" t="s">
        <v>137</v>
      </c>
      <c r="N183" s="30" t="s">
        <v>42</v>
      </c>
      <c r="O183" s="30" t="s">
        <v>760</v>
      </c>
      <c r="P183" s="30"/>
    </row>
    <row r="184" spans="1:22" x14ac:dyDescent="0.25">
      <c r="A184" s="30"/>
      <c r="B184" s="142" t="s">
        <v>754</v>
      </c>
      <c r="C184" s="30"/>
      <c r="D184" s="30" t="s">
        <v>450</v>
      </c>
      <c r="E184" s="30"/>
      <c r="F184" s="17" t="s">
        <v>58</v>
      </c>
      <c r="G184" s="30" t="s">
        <v>765</v>
      </c>
      <c r="H184" s="30">
        <v>80654</v>
      </c>
      <c r="I184" s="30">
        <v>80673</v>
      </c>
      <c r="J184" s="30">
        <f t="shared" si="15"/>
        <v>19</v>
      </c>
      <c r="K184" s="17">
        <v>18</v>
      </c>
      <c r="L184" s="17">
        <f t="shared" si="16"/>
        <v>342</v>
      </c>
      <c r="M184" s="17" t="s">
        <v>137</v>
      </c>
      <c r="N184" s="30" t="s">
        <v>759</v>
      </c>
      <c r="O184" s="30" t="s">
        <v>230</v>
      </c>
      <c r="P184" s="30"/>
    </row>
    <row r="185" spans="1:22" x14ac:dyDescent="0.25">
      <c r="A185" s="30"/>
      <c r="B185" s="142" t="s">
        <v>767</v>
      </c>
      <c r="C185" s="30"/>
      <c r="D185" s="30" t="s">
        <v>450</v>
      </c>
      <c r="E185" s="30"/>
      <c r="F185" s="17" t="s">
        <v>58</v>
      </c>
      <c r="G185" s="30" t="s">
        <v>766</v>
      </c>
      <c r="H185" s="30">
        <v>80673</v>
      </c>
      <c r="I185" s="30">
        <v>80696</v>
      </c>
      <c r="J185" s="30">
        <f t="shared" si="15"/>
        <v>23</v>
      </c>
      <c r="K185" s="17">
        <v>18</v>
      </c>
      <c r="L185" s="17">
        <f t="shared" si="16"/>
        <v>414</v>
      </c>
      <c r="M185" s="30" t="s">
        <v>704</v>
      </c>
      <c r="N185" s="30" t="s">
        <v>768</v>
      </c>
      <c r="O185" s="30" t="s">
        <v>769</v>
      </c>
      <c r="P185" s="30"/>
    </row>
    <row r="186" spans="1:22" x14ac:dyDescent="0.25">
      <c r="A186" s="30"/>
      <c r="B186" s="142" t="s">
        <v>767</v>
      </c>
      <c r="C186" s="30"/>
      <c r="D186" s="30" t="s">
        <v>450</v>
      </c>
      <c r="E186" s="30"/>
      <c r="F186" s="17" t="s">
        <v>58</v>
      </c>
      <c r="G186" s="30" t="s">
        <v>771</v>
      </c>
      <c r="H186" s="30">
        <v>80696</v>
      </c>
      <c r="I186" s="30">
        <v>80715</v>
      </c>
      <c r="J186" s="30">
        <f t="shared" si="15"/>
        <v>19</v>
      </c>
      <c r="K186" s="17">
        <v>18</v>
      </c>
      <c r="L186" s="17">
        <f t="shared" si="16"/>
        <v>342</v>
      </c>
      <c r="M186" s="30" t="s">
        <v>704</v>
      </c>
      <c r="N186" s="30" t="s">
        <v>307</v>
      </c>
      <c r="O186" s="30" t="s">
        <v>770</v>
      </c>
      <c r="P186" s="30"/>
    </row>
    <row r="187" spans="1:22" x14ac:dyDescent="0.25">
      <c r="A187" s="30"/>
      <c r="B187" s="142" t="s">
        <v>767</v>
      </c>
      <c r="C187" s="30"/>
      <c r="D187" s="30" t="s">
        <v>450</v>
      </c>
      <c r="E187" s="30"/>
      <c r="F187" s="17" t="s">
        <v>58</v>
      </c>
      <c r="G187" s="30" t="s">
        <v>772</v>
      </c>
      <c r="H187" s="30">
        <v>80715</v>
      </c>
      <c r="I187" s="30">
        <v>80721</v>
      </c>
      <c r="J187" s="30">
        <f t="shared" si="15"/>
        <v>6</v>
      </c>
      <c r="K187" s="17">
        <v>18</v>
      </c>
      <c r="L187" s="17">
        <f t="shared" si="16"/>
        <v>108</v>
      </c>
      <c r="M187" s="30" t="s">
        <v>743</v>
      </c>
      <c r="N187" s="30" t="s">
        <v>214</v>
      </c>
      <c r="O187" s="30" t="s">
        <v>684</v>
      </c>
      <c r="P187" s="30"/>
    </row>
    <row r="188" spans="1:22" x14ac:dyDescent="0.25">
      <c r="A188" s="30"/>
      <c r="B188" s="142" t="s">
        <v>767</v>
      </c>
      <c r="C188" s="30"/>
      <c r="D188" s="30" t="s">
        <v>450</v>
      </c>
      <c r="E188" s="30"/>
      <c r="F188" s="17" t="s">
        <v>58</v>
      </c>
      <c r="G188" s="30" t="s">
        <v>774</v>
      </c>
      <c r="H188" s="30">
        <v>80722</v>
      </c>
      <c r="I188" s="30">
        <v>80738</v>
      </c>
      <c r="J188" s="30">
        <f t="shared" si="15"/>
        <v>16</v>
      </c>
      <c r="K188" s="17">
        <v>18</v>
      </c>
      <c r="L188" s="17">
        <f t="shared" si="16"/>
        <v>288</v>
      </c>
      <c r="M188" s="30" t="s">
        <v>704</v>
      </c>
      <c r="N188" s="30" t="s">
        <v>435</v>
      </c>
      <c r="O188" s="30" t="s">
        <v>685</v>
      </c>
      <c r="P188" s="30"/>
    </row>
    <row r="189" spans="1:22" x14ac:dyDescent="0.25">
      <c r="A189" s="30"/>
      <c r="B189" s="142" t="s">
        <v>773</v>
      </c>
      <c r="C189" s="30"/>
      <c r="D189" s="30" t="s">
        <v>450</v>
      </c>
      <c r="E189" s="30"/>
      <c r="F189" s="17" t="s">
        <v>58</v>
      </c>
      <c r="G189" s="30" t="s">
        <v>775</v>
      </c>
      <c r="H189" s="30">
        <v>80738</v>
      </c>
      <c r="I189" s="30">
        <v>80755</v>
      </c>
      <c r="J189" s="30">
        <f t="shared" si="15"/>
        <v>17</v>
      </c>
      <c r="K189" s="17">
        <v>18</v>
      </c>
      <c r="L189" s="17">
        <f t="shared" si="16"/>
        <v>306</v>
      </c>
      <c r="M189" s="30" t="s">
        <v>777</v>
      </c>
      <c r="N189" s="30" t="s">
        <v>59</v>
      </c>
      <c r="O189" s="30" t="s">
        <v>769</v>
      </c>
      <c r="P189" s="30"/>
    </row>
    <row r="190" spans="1:22" x14ac:dyDescent="0.25">
      <c r="A190" s="30"/>
      <c r="B190" s="142" t="s">
        <v>773</v>
      </c>
      <c r="C190" s="30"/>
      <c r="D190" s="30" t="s">
        <v>450</v>
      </c>
      <c r="E190" s="30"/>
      <c r="F190" s="17" t="s">
        <v>58</v>
      </c>
      <c r="G190" s="30" t="s">
        <v>776</v>
      </c>
      <c r="H190" s="30">
        <v>80755</v>
      </c>
      <c r="I190" s="30">
        <v>80767</v>
      </c>
      <c r="J190" s="30">
        <f t="shared" si="15"/>
        <v>12</v>
      </c>
      <c r="K190" s="17">
        <v>18</v>
      </c>
      <c r="L190" s="17">
        <f t="shared" si="16"/>
        <v>216</v>
      </c>
      <c r="M190" s="30" t="s">
        <v>777</v>
      </c>
      <c r="N190" s="30" t="s">
        <v>53</v>
      </c>
      <c r="O190" s="30" t="s">
        <v>165</v>
      </c>
      <c r="P190" s="30"/>
    </row>
    <row r="191" spans="1:22" x14ac:dyDescent="0.25">
      <c r="A191" s="30"/>
      <c r="B191" s="142" t="s">
        <v>773</v>
      </c>
      <c r="C191" s="30"/>
      <c r="D191" s="30" t="s">
        <v>450</v>
      </c>
      <c r="E191" s="30"/>
      <c r="F191" s="17" t="s">
        <v>58</v>
      </c>
      <c r="G191" s="30" t="s">
        <v>780</v>
      </c>
      <c r="H191" s="30">
        <v>80767</v>
      </c>
      <c r="I191" s="30">
        <v>80779</v>
      </c>
      <c r="J191" s="30">
        <f t="shared" si="15"/>
        <v>12</v>
      </c>
      <c r="K191" s="17">
        <v>18</v>
      </c>
      <c r="L191" s="17">
        <f t="shared" si="16"/>
        <v>216</v>
      </c>
      <c r="M191" s="30" t="s">
        <v>777</v>
      </c>
      <c r="N191" s="30" t="s">
        <v>461</v>
      </c>
      <c r="O191" s="30" t="s">
        <v>747</v>
      </c>
      <c r="P191" s="30"/>
    </row>
    <row r="192" spans="1:22" x14ac:dyDescent="0.25">
      <c r="A192" s="30"/>
      <c r="B192" s="142" t="s">
        <v>782</v>
      </c>
      <c r="C192" s="30"/>
      <c r="D192" s="30" t="s">
        <v>450</v>
      </c>
      <c r="E192" s="30"/>
      <c r="F192" s="17" t="s">
        <v>58</v>
      </c>
      <c r="G192" s="30" t="s">
        <v>781</v>
      </c>
      <c r="H192" s="30">
        <v>80780</v>
      </c>
      <c r="I192" s="30">
        <v>80791</v>
      </c>
      <c r="J192" s="30">
        <f t="shared" si="15"/>
        <v>11</v>
      </c>
      <c r="K192" s="17">
        <v>18</v>
      </c>
      <c r="L192" s="17">
        <f t="shared" si="16"/>
        <v>198</v>
      </c>
      <c r="M192" s="17" t="s">
        <v>137</v>
      </c>
      <c r="N192" s="30" t="s">
        <v>460</v>
      </c>
      <c r="O192" s="30" t="s">
        <v>531</v>
      </c>
      <c r="P192" s="30"/>
    </row>
    <row r="193" spans="1:16" x14ac:dyDescent="0.25">
      <c r="A193" s="30"/>
      <c r="B193" s="142" t="s">
        <v>783</v>
      </c>
      <c r="C193" s="30"/>
      <c r="D193" s="30" t="s">
        <v>450</v>
      </c>
      <c r="E193" s="30"/>
      <c r="F193" s="17" t="s">
        <v>58</v>
      </c>
      <c r="G193" s="30" t="s">
        <v>717</v>
      </c>
      <c r="H193" s="30">
        <v>80791</v>
      </c>
      <c r="I193" s="30">
        <v>80792</v>
      </c>
      <c r="J193" s="30">
        <f t="shared" si="15"/>
        <v>1</v>
      </c>
      <c r="K193" s="17">
        <v>18</v>
      </c>
      <c r="L193" s="17">
        <f t="shared" si="16"/>
        <v>18</v>
      </c>
      <c r="M193" s="17" t="s">
        <v>137</v>
      </c>
      <c r="N193" s="30" t="s">
        <v>41</v>
      </c>
      <c r="O193" s="30" t="s">
        <v>33</v>
      </c>
      <c r="P193" s="30"/>
    </row>
    <row r="194" spans="1:16" x14ac:dyDescent="0.25">
      <c r="A194" s="30"/>
      <c r="B194" s="142" t="s">
        <v>783</v>
      </c>
      <c r="C194" s="30"/>
      <c r="D194" s="30" t="s">
        <v>450</v>
      </c>
      <c r="E194" s="30"/>
      <c r="F194" s="17" t="s">
        <v>58</v>
      </c>
      <c r="G194" s="30" t="s">
        <v>785</v>
      </c>
      <c r="H194" s="30">
        <v>80792</v>
      </c>
      <c r="I194" s="30">
        <v>80798</v>
      </c>
      <c r="J194" s="30">
        <f t="shared" si="15"/>
        <v>6</v>
      </c>
      <c r="K194" s="17">
        <v>18</v>
      </c>
      <c r="L194" s="17">
        <f t="shared" si="16"/>
        <v>108</v>
      </c>
      <c r="M194" s="17" t="s">
        <v>137</v>
      </c>
      <c r="N194" s="30" t="s">
        <v>246</v>
      </c>
      <c r="O194" s="30" t="s">
        <v>213</v>
      </c>
      <c r="P194" s="30"/>
    </row>
    <row r="195" spans="1:16" x14ac:dyDescent="0.25">
      <c r="A195" s="30"/>
      <c r="B195" s="142" t="s">
        <v>784</v>
      </c>
      <c r="C195" s="30"/>
      <c r="D195" s="30" t="s">
        <v>450</v>
      </c>
      <c r="E195" s="30"/>
      <c r="F195" s="17" t="s">
        <v>58</v>
      </c>
      <c r="G195" s="30" t="s">
        <v>786</v>
      </c>
      <c r="H195" s="30">
        <v>80798</v>
      </c>
      <c r="I195" s="30">
        <v>80821</v>
      </c>
      <c r="J195" s="30">
        <f t="shared" si="15"/>
        <v>23</v>
      </c>
      <c r="K195" s="17">
        <v>18</v>
      </c>
      <c r="L195" s="17">
        <f t="shared" si="16"/>
        <v>414</v>
      </c>
      <c r="M195" s="17" t="s">
        <v>137</v>
      </c>
      <c r="N195" s="30" t="s">
        <v>246</v>
      </c>
      <c r="O195" s="30" t="s">
        <v>213</v>
      </c>
      <c r="P195" s="30"/>
    </row>
    <row r="196" spans="1:16" x14ac:dyDescent="0.25">
      <c r="A196" s="30"/>
      <c r="B196" s="142" t="s">
        <v>829</v>
      </c>
      <c r="C196" s="30"/>
      <c r="D196" s="30" t="s">
        <v>450</v>
      </c>
      <c r="E196" s="30"/>
      <c r="F196" s="17" t="s">
        <v>58</v>
      </c>
      <c r="G196" s="30" t="s">
        <v>787</v>
      </c>
      <c r="H196" s="30">
        <v>80821</v>
      </c>
      <c r="I196" s="30">
        <v>80846</v>
      </c>
      <c r="J196" s="30">
        <f t="shared" si="15"/>
        <v>25</v>
      </c>
      <c r="K196" s="17">
        <v>18</v>
      </c>
      <c r="L196" s="17">
        <f t="shared" si="16"/>
        <v>450</v>
      </c>
      <c r="M196" s="17" t="s">
        <v>137</v>
      </c>
      <c r="N196" s="30" t="s">
        <v>196</v>
      </c>
      <c r="O196" s="30" t="s">
        <v>481</v>
      </c>
      <c r="P196" s="30"/>
    </row>
    <row r="197" spans="1:16" x14ac:dyDescent="0.25">
      <c r="A197" s="30"/>
      <c r="B197" s="142" t="s">
        <v>829</v>
      </c>
      <c r="C197" s="30"/>
      <c r="D197" s="30" t="s">
        <v>450</v>
      </c>
      <c r="E197" s="30"/>
      <c r="F197" s="17" t="s">
        <v>58</v>
      </c>
      <c r="G197" s="30" t="s">
        <v>788</v>
      </c>
      <c r="H197" s="30">
        <v>80846</v>
      </c>
      <c r="I197" s="30">
        <v>80859</v>
      </c>
      <c r="J197" s="30">
        <f t="shared" si="15"/>
        <v>13</v>
      </c>
      <c r="K197" s="17">
        <v>18</v>
      </c>
      <c r="L197" s="17">
        <f t="shared" si="16"/>
        <v>234</v>
      </c>
      <c r="M197" s="17" t="s">
        <v>137</v>
      </c>
      <c r="N197" s="30" t="s">
        <v>44</v>
      </c>
      <c r="O197" s="30" t="s">
        <v>320</v>
      </c>
      <c r="P197" s="30"/>
    </row>
    <row r="198" spans="1:16" x14ac:dyDescent="0.25">
      <c r="A198" s="93"/>
      <c r="B198" s="142" t="s">
        <v>829</v>
      </c>
      <c r="C198" s="30"/>
      <c r="D198" s="30" t="s">
        <v>507</v>
      </c>
      <c r="E198" s="30"/>
      <c r="F198" s="17" t="s">
        <v>332</v>
      </c>
      <c r="G198" s="30" t="s">
        <v>736</v>
      </c>
      <c r="H198" s="30">
        <v>80859</v>
      </c>
      <c r="I198" s="30">
        <v>80871</v>
      </c>
      <c r="J198" s="30">
        <f t="shared" si="15"/>
        <v>12</v>
      </c>
      <c r="K198" s="17">
        <v>18</v>
      </c>
      <c r="L198" s="17">
        <f t="shared" si="16"/>
        <v>216</v>
      </c>
      <c r="M198" s="17" t="s">
        <v>137</v>
      </c>
      <c r="N198" s="30" t="s">
        <v>56</v>
      </c>
      <c r="O198" s="30" t="s">
        <v>213</v>
      </c>
      <c r="P198" s="30"/>
    </row>
    <row r="199" spans="1:16" x14ac:dyDescent="0.25">
      <c r="A199" s="93"/>
      <c r="B199" s="142" t="s">
        <v>830</v>
      </c>
      <c r="C199" s="30"/>
      <c r="D199" s="30" t="s">
        <v>507</v>
      </c>
      <c r="E199" s="30"/>
      <c r="F199" s="17" t="s">
        <v>332</v>
      </c>
      <c r="G199" s="30" t="s">
        <v>731</v>
      </c>
      <c r="H199" s="30">
        <v>80871</v>
      </c>
      <c r="I199" s="30">
        <v>80876</v>
      </c>
      <c r="J199" s="30">
        <f t="shared" si="15"/>
        <v>5</v>
      </c>
      <c r="K199" s="17">
        <v>18</v>
      </c>
      <c r="L199" s="17">
        <f t="shared" si="16"/>
        <v>90</v>
      </c>
      <c r="M199" s="17" t="s">
        <v>137</v>
      </c>
      <c r="N199" s="30" t="s">
        <v>196</v>
      </c>
      <c r="O199" s="30" t="s">
        <v>789</v>
      </c>
      <c r="P199" s="30"/>
    </row>
    <row r="200" spans="1:16" x14ac:dyDescent="0.25">
      <c r="A200" s="30"/>
      <c r="B200" s="142" t="s">
        <v>830</v>
      </c>
      <c r="C200" s="30"/>
      <c r="D200" s="30" t="s">
        <v>450</v>
      </c>
      <c r="E200" s="30"/>
      <c r="F200" s="17" t="s">
        <v>58</v>
      </c>
      <c r="G200" s="30" t="s">
        <v>793</v>
      </c>
      <c r="H200" s="30">
        <v>80876</v>
      </c>
      <c r="I200" s="30">
        <v>80883</v>
      </c>
      <c r="J200" s="30">
        <f t="shared" si="15"/>
        <v>7</v>
      </c>
      <c r="K200" s="17">
        <v>18</v>
      </c>
      <c r="L200" s="17">
        <f t="shared" si="16"/>
        <v>126</v>
      </c>
      <c r="M200" s="17" t="s">
        <v>137</v>
      </c>
      <c r="N200" s="30" t="s">
        <v>246</v>
      </c>
      <c r="O200" s="30" t="s">
        <v>795</v>
      </c>
      <c r="P200" s="30"/>
    </row>
    <row r="201" spans="1:16" x14ac:dyDescent="0.25">
      <c r="A201" s="93"/>
      <c r="B201" s="142" t="s">
        <v>830</v>
      </c>
      <c r="C201" s="30"/>
      <c r="D201" s="30" t="s">
        <v>761</v>
      </c>
      <c r="E201" s="30"/>
      <c r="F201" s="17" t="s">
        <v>792</v>
      </c>
      <c r="G201" s="30" t="s">
        <v>762</v>
      </c>
      <c r="H201" s="30">
        <v>80883</v>
      </c>
      <c r="I201" s="30">
        <v>80895</v>
      </c>
      <c r="J201" s="30">
        <f t="shared" si="15"/>
        <v>12</v>
      </c>
      <c r="K201" s="17">
        <v>18</v>
      </c>
      <c r="L201" s="17">
        <f t="shared" si="16"/>
        <v>216</v>
      </c>
      <c r="M201" s="17" t="s">
        <v>137</v>
      </c>
      <c r="N201" s="30" t="s">
        <v>769</v>
      </c>
      <c r="O201" s="30" t="s">
        <v>156</v>
      </c>
      <c r="P201" s="30"/>
    </row>
    <row r="202" spans="1:16" x14ac:dyDescent="0.25">
      <c r="A202" s="30"/>
      <c r="B202" s="142" t="s">
        <v>830</v>
      </c>
      <c r="C202" s="30"/>
      <c r="D202" s="30" t="s">
        <v>450</v>
      </c>
      <c r="E202" s="30"/>
      <c r="F202" s="17" t="s">
        <v>58</v>
      </c>
      <c r="G202" s="30" t="s">
        <v>794</v>
      </c>
      <c r="H202" s="30">
        <v>80895</v>
      </c>
      <c r="I202" s="30">
        <v>80901</v>
      </c>
      <c r="J202" s="30">
        <f t="shared" si="15"/>
        <v>6</v>
      </c>
      <c r="K202" s="17">
        <v>18</v>
      </c>
      <c r="L202" s="17">
        <f t="shared" si="16"/>
        <v>108</v>
      </c>
      <c r="M202" s="17" t="s">
        <v>137</v>
      </c>
      <c r="N202" s="30" t="s">
        <v>321</v>
      </c>
      <c r="O202" s="30" t="s">
        <v>790</v>
      </c>
      <c r="P202" s="30"/>
    </row>
    <row r="203" spans="1:16" x14ac:dyDescent="0.25">
      <c r="A203" s="30"/>
      <c r="B203" s="142" t="s">
        <v>831</v>
      </c>
      <c r="C203" s="30"/>
      <c r="D203" s="30" t="s">
        <v>450</v>
      </c>
      <c r="E203" s="30"/>
      <c r="F203" s="17" t="s">
        <v>58</v>
      </c>
      <c r="G203" s="30" t="s">
        <v>791</v>
      </c>
      <c r="H203" s="30">
        <v>80901</v>
      </c>
      <c r="I203" s="30">
        <v>80935</v>
      </c>
      <c r="J203" s="30">
        <f t="shared" si="15"/>
        <v>34</v>
      </c>
      <c r="K203" s="17">
        <v>18</v>
      </c>
      <c r="L203" s="30">
        <f t="shared" si="16"/>
        <v>612</v>
      </c>
      <c r="M203" s="17" t="s">
        <v>137</v>
      </c>
      <c r="N203" s="30" t="s">
        <v>241</v>
      </c>
      <c r="O203" s="30" t="s">
        <v>417</v>
      </c>
      <c r="P203" s="30"/>
    </row>
    <row r="204" spans="1:16" x14ac:dyDescent="0.25">
      <c r="A204" s="30"/>
      <c r="B204" s="142" t="s">
        <v>831</v>
      </c>
      <c r="C204" s="30"/>
      <c r="D204" s="30" t="s">
        <v>450</v>
      </c>
      <c r="E204" s="30"/>
      <c r="F204" s="17" t="s">
        <v>58</v>
      </c>
      <c r="G204" s="30" t="s">
        <v>796</v>
      </c>
      <c r="H204" s="30">
        <v>80935</v>
      </c>
      <c r="I204" s="30">
        <v>80943</v>
      </c>
      <c r="J204" s="30">
        <f t="shared" si="15"/>
        <v>8</v>
      </c>
      <c r="K204" s="17">
        <v>18</v>
      </c>
      <c r="L204" s="30">
        <f t="shared" si="16"/>
        <v>144</v>
      </c>
      <c r="M204" s="17" t="s">
        <v>137</v>
      </c>
      <c r="N204" s="30" t="s">
        <v>423</v>
      </c>
      <c r="O204" s="30" t="s">
        <v>34</v>
      </c>
      <c r="P204" s="30"/>
    </row>
    <row r="205" spans="1:16" x14ac:dyDescent="0.25">
      <c r="A205" s="30"/>
      <c r="B205" s="142" t="s">
        <v>832</v>
      </c>
      <c r="C205" s="30"/>
      <c r="D205" s="30" t="s">
        <v>450</v>
      </c>
      <c r="E205" s="30"/>
      <c r="F205" s="17" t="s">
        <v>58</v>
      </c>
      <c r="G205" s="30" t="s">
        <v>797</v>
      </c>
      <c r="H205" s="30">
        <v>80943</v>
      </c>
      <c r="I205" s="30">
        <v>80955</v>
      </c>
      <c r="J205" s="30">
        <f t="shared" si="15"/>
        <v>12</v>
      </c>
      <c r="K205" s="17">
        <v>18</v>
      </c>
      <c r="L205" s="30">
        <f t="shared" si="16"/>
        <v>216</v>
      </c>
      <c r="M205" s="17" t="s">
        <v>137</v>
      </c>
      <c r="N205" s="30" t="s">
        <v>26</v>
      </c>
      <c r="O205" s="30" t="s">
        <v>253</v>
      </c>
      <c r="P205" s="30"/>
    </row>
    <row r="206" spans="1:16" x14ac:dyDescent="0.25">
      <c r="A206" s="30"/>
      <c r="B206" s="142" t="s">
        <v>832</v>
      </c>
      <c r="C206" s="30"/>
      <c r="D206" s="30" t="s">
        <v>450</v>
      </c>
      <c r="E206" s="30"/>
      <c r="F206" s="17" t="s">
        <v>58</v>
      </c>
      <c r="G206" s="30" t="s">
        <v>798</v>
      </c>
      <c r="H206" s="30">
        <v>80955</v>
      </c>
      <c r="I206" s="30">
        <v>80961</v>
      </c>
      <c r="J206" s="30">
        <f t="shared" si="15"/>
        <v>6</v>
      </c>
      <c r="K206" s="17">
        <v>18</v>
      </c>
      <c r="L206" s="30">
        <f t="shared" si="16"/>
        <v>108</v>
      </c>
      <c r="M206" s="17" t="s">
        <v>137</v>
      </c>
      <c r="N206" s="30" t="s">
        <v>460</v>
      </c>
      <c r="O206" s="30" t="s">
        <v>41</v>
      </c>
      <c r="P206" s="30"/>
    </row>
    <row r="207" spans="1:16" x14ac:dyDescent="0.25">
      <c r="A207" s="30"/>
      <c r="B207" s="142" t="s">
        <v>832</v>
      </c>
      <c r="C207" s="30"/>
      <c r="D207" s="30" t="s">
        <v>450</v>
      </c>
      <c r="E207" s="30"/>
      <c r="F207" s="17" t="s">
        <v>58</v>
      </c>
      <c r="G207" s="30" t="s">
        <v>799</v>
      </c>
      <c r="H207" s="30">
        <v>80961</v>
      </c>
      <c r="I207" s="30">
        <v>80993</v>
      </c>
      <c r="J207" s="30">
        <f t="shared" si="15"/>
        <v>32</v>
      </c>
      <c r="K207" s="17">
        <v>18</v>
      </c>
      <c r="L207" s="30">
        <f t="shared" si="16"/>
        <v>576</v>
      </c>
      <c r="M207" s="17" t="s">
        <v>137</v>
      </c>
      <c r="N207" s="30" t="s">
        <v>42</v>
      </c>
      <c r="O207" s="30" t="s">
        <v>800</v>
      </c>
      <c r="P207" s="30"/>
    </row>
    <row r="208" spans="1:16" x14ac:dyDescent="0.25">
      <c r="A208" s="30"/>
      <c r="B208" s="142" t="s">
        <v>833</v>
      </c>
      <c r="C208" s="30"/>
      <c r="D208" s="30" t="s">
        <v>450</v>
      </c>
      <c r="E208" s="30"/>
      <c r="F208" s="17" t="s">
        <v>58</v>
      </c>
      <c r="G208" s="30" t="s">
        <v>801</v>
      </c>
      <c r="H208" s="30">
        <v>80993</v>
      </c>
      <c r="I208" s="30">
        <v>80999</v>
      </c>
      <c r="J208" s="30">
        <f t="shared" si="15"/>
        <v>6</v>
      </c>
      <c r="K208" s="17">
        <v>18</v>
      </c>
      <c r="L208" s="30">
        <f t="shared" si="16"/>
        <v>108</v>
      </c>
      <c r="M208" s="17" t="s">
        <v>137</v>
      </c>
      <c r="N208" s="30" t="s">
        <v>246</v>
      </c>
      <c r="O208" s="30" t="s">
        <v>56</v>
      </c>
      <c r="P208" s="30"/>
    </row>
    <row r="209" spans="1:16" x14ac:dyDescent="0.25">
      <c r="A209" s="30"/>
      <c r="B209" s="142" t="s">
        <v>834</v>
      </c>
      <c r="C209" s="30"/>
      <c r="D209" s="30" t="s">
        <v>450</v>
      </c>
      <c r="E209" s="30"/>
      <c r="F209" s="17" t="s">
        <v>58</v>
      </c>
      <c r="G209" s="30" t="s">
        <v>803</v>
      </c>
      <c r="H209" s="30">
        <v>81000</v>
      </c>
      <c r="I209" s="30">
        <v>81044</v>
      </c>
      <c r="J209" s="30">
        <f t="shared" si="15"/>
        <v>44</v>
      </c>
      <c r="K209" s="17">
        <v>18</v>
      </c>
      <c r="L209" s="30">
        <f t="shared" si="16"/>
        <v>792</v>
      </c>
      <c r="M209" s="17" t="s">
        <v>137</v>
      </c>
      <c r="N209" s="30" t="s">
        <v>156</v>
      </c>
      <c r="O209" s="30" t="s">
        <v>51</v>
      </c>
      <c r="P209" s="30"/>
    </row>
    <row r="210" spans="1:16" x14ac:dyDescent="0.25">
      <c r="A210" s="30"/>
      <c r="B210" s="142" t="s">
        <v>835</v>
      </c>
      <c r="C210" s="30"/>
      <c r="D210" s="30" t="s">
        <v>450</v>
      </c>
      <c r="E210" s="30"/>
      <c r="F210" s="17" t="s">
        <v>58</v>
      </c>
      <c r="G210" s="30" t="s">
        <v>804</v>
      </c>
      <c r="H210" s="30">
        <v>81044</v>
      </c>
      <c r="I210" s="30">
        <v>81067</v>
      </c>
      <c r="J210" s="30">
        <f t="shared" si="15"/>
        <v>23</v>
      </c>
      <c r="K210" s="17">
        <v>18</v>
      </c>
      <c r="L210" s="30">
        <f t="shared" si="16"/>
        <v>414</v>
      </c>
      <c r="M210" s="17" t="s">
        <v>137</v>
      </c>
      <c r="N210" s="30" t="s">
        <v>54</v>
      </c>
      <c r="O210" s="30" t="s">
        <v>48</v>
      </c>
      <c r="P210" s="30"/>
    </row>
    <row r="211" spans="1:16" x14ac:dyDescent="0.25">
      <c r="A211" s="30"/>
      <c r="B211" s="142" t="s">
        <v>836</v>
      </c>
      <c r="C211" s="30"/>
      <c r="D211" s="30" t="s">
        <v>450</v>
      </c>
      <c r="E211" s="30"/>
      <c r="F211" s="17" t="s">
        <v>58</v>
      </c>
      <c r="G211" s="30" t="s">
        <v>802</v>
      </c>
      <c r="H211" s="30">
        <v>81067</v>
      </c>
      <c r="I211" s="30">
        <v>81095</v>
      </c>
      <c r="J211" s="30">
        <f t="shared" si="15"/>
        <v>28</v>
      </c>
      <c r="K211" s="17">
        <v>18</v>
      </c>
      <c r="L211" s="30">
        <f t="shared" si="16"/>
        <v>504</v>
      </c>
      <c r="M211" s="17" t="s">
        <v>137</v>
      </c>
      <c r="N211" s="30" t="s">
        <v>270</v>
      </c>
      <c r="O211" s="30" t="s">
        <v>38</v>
      </c>
      <c r="P211" s="30"/>
    </row>
    <row r="212" spans="1:16" x14ac:dyDescent="0.25">
      <c r="A212" s="30"/>
      <c r="B212" s="142" t="s">
        <v>837</v>
      </c>
      <c r="C212" s="30"/>
      <c r="D212" s="30" t="s">
        <v>450</v>
      </c>
      <c r="E212" s="30"/>
      <c r="F212" s="17" t="s">
        <v>58</v>
      </c>
      <c r="G212" s="30" t="s">
        <v>805</v>
      </c>
      <c r="H212" s="30">
        <v>81095</v>
      </c>
      <c r="I212" s="30">
        <v>81103</v>
      </c>
      <c r="J212" s="30">
        <f t="shared" si="15"/>
        <v>8</v>
      </c>
      <c r="K212" s="17">
        <v>18</v>
      </c>
      <c r="L212" s="30">
        <f t="shared" si="16"/>
        <v>144</v>
      </c>
      <c r="M212" s="17" t="s">
        <v>137</v>
      </c>
      <c r="N212" s="30" t="s">
        <v>806</v>
      </c>
      <c r="O212" s="30" t="s">
        <v>167</v>
      </c>
      <c r="P212" s="30"/>
    </row>
    <row r="213" spans="1:16" x14ac:dyDescent="0.25">
      <c r="A213" s="30"/>
      <c r="B213" s="142" t="s">
        <v>837</v>
      </c>
      <c r="C213" s="30"/>
      <c r="D213" s="30" t="s">
        <v>450</v>
      </c>
      <c r="E213" s="30"/>
      <c r="F213" s="17" t="s">
        <v>58</v>
      </c>
      <c r="G213" s="30" t="s">
        <v>807</v>
      </c>
      <c r="H213" s="30">
        <v>81103</v>
      </c>
      <c r="I213" s="30">
        <v>81119</v>
      </c>
      <c r="J213" s="30">
        <f t="shared" si="15"/>
        <v>16</v>
      </c>
      <c r="K213" s="17">
        <v>18</v>
      </c>
      <c r="L213" s="30">
        <f t="shared" si="16"/>
        <v>288</v>
      </c>
      <c r="M213" s="17" t="s">
        <v>137</v>
      </c>
      <c r="N213" s="30" t="s">
        <v>213</v>
      </c>
      <c r="O213" s="30" t="s">
        <v>34</v>
      </c>
      <c r="P213" s="30"/>
    </row>
    <row r="214" spans="1:16" x14ac:dyDescent="0.25">
      <c r="A214" s="30"/>
      <c r="B214" s="142" t="s">
        <v>838</v>
      </c>
      <c r="C214" s="30"/>
      <c r="D214" s="30" t="s">
        <v>450</v>
      </c>
      <c r="E214" s="30"/>
      <c r="F214" s="17" t="s">
        <v>58</v>
      </c>
      <c r="G214" s="30" t="s">
        <v>808</v>
      </c>
      <c r="H214" s="30">
        <v>81119</v>
      </c>
      <c r="I214" s="30">
        <v>81141</v>
      </c>
      <c r="J214" s="30">
        <f t="shared" si="15"/>
        <v>22</v>
      </c>
      <c r="K214" s="17">
        <v>18</v>
      </c>
      <c r="L214" s="30">
        <f t="shared" si="16"/>
        <v>396</v>
      </c>
      <c r="M214" s="17" t="s">
        <v>137</v>
      </c>
      <c r="N214" s="30" t="s">
        <v>320</v>
      </c>
      <c r="O214" s="30" t="s">
        <v>331</v>
      </c>
      <c r="P214" s="30"/>
    </row>
    <row r="215" spans="1:16" x14ac:dyDescent="0.25">
      <c r="A215" s="30"/>
      <c r="B215" s="142" t="s">
        <v>839</v>
      </c>
      <c r="C215" s="30"/>
      <c r="D215" s="30" t="s">
        <v>450</v>
      </c>
      <c r="E215" s="30"/>
      <c r="F215" s="17" t="s">
        <v>58</v>
      </c>
      <c r="G215" s="30" t="s">
        <v>809</v>
      </c>
      <c r="H215" s="30">
        <v>81141</v>
      </c>
      <c r="I215" s="30">
        <v>81424</v>
      </c>
      <c r="J215" s="30">
        <f t="shared" si="15"/>
        <v>283</v>
      </c>
      <c r="K215" s="17">
        <v>18</v>
      </c>
      <c r="L215" s="30">
        <f t="shared" si="16"/>
        <v>5094</v>
      </c>
      <c r="M215" s="30" t="s">
        <v>812</v>
      </c>
      <c r="N215" s="30" t="s">
        <v>684</v>
      </c>
      <c r="O215" s="30" t="s">
        <v>811</v>
      </c>
      <c r="P215" s="30"/>
    </row>
    <row r="216" spans="1:16" x14ac:dyDescent="0.25">
      <c r="A216" s="30"/>
      <c r="B216" s="142" t="s">
        <v>840</v>
      </c>
      <c r="C216" s="30"/>
      <c r="D216" s="30" t="s">
        <v>450</v>
      </c>
      <c r="E216" s="30"/>
      <c r="F216" s="17" t="s">
        <v>58</v>
      </c>
      <c r="G216" s="30" t="s">
        <v>815</v>
      </c>
      <c r="H216" s="30">
        <v>81424</v>
      </c>
      <c r="I216" s="30">
        <v>81441</v>
      </c>
      <c r="J216" s="30">
        <f t="shared" si="15"/>
        <v>17</v>
      </c>
      <c r="K216" s="17">
        <v>18</v>
      </c>
      <c r="L216" s="30">
        <f t="shared" si="16"/>
        <v>306</v>
      </c>
      <c r="M216" s="30" t="s">
        <v>381</v>
      </c>
      <c r="N216" s="30" t="s">
        <v>813</v>
      </c>
      <c r="O216" s="30" t="s">
        <v>770</v>
      </c>
      <c r="P216" s="30"/>
    </row>
    <row r="217" spans="1:16" x14ac:dyDescent="0.25">
      <c r="A217" s="30"/>
      <c r="B217" s="142" t="s">
        <v>840</v>
      </c>
      <c r="C217" s="30"/>
      <c r="D217" s="30" t="s">
        <v>450</v>
      </c>
      <c r="E217" s="30"/>
      <c r="F217" s="17" t="s">
        <v>58</v>
      </c>
      <c r="G217" s="30" t="s">
        <v>818</v>
      </c>
      <c r="H217" s="30">
        <v>81442</v>
      </c>
      <c r="I217" s="30">
        <v>81454</v>
      </c>
      <c r="J217" s="30">
        <f t="shared" si="15"/>
        <v>12</v>
      </c>
      <c r="K217" s="17">
        <v>18</v>
      </c>
      <c r="L217" s="30">
        <f t="shared" si="16"/>
        <v>216</v>
      </c>
      <c r="M217" s="30" t="s">
        <v>704</v>
      </c>
      <c r="N217" s="30" t="s">
        <v>37</v>
      </c>
      <c r="O217" s="30" t="s">
        <v>427</v>
      </c>
      <c r="P217" s="30"/>
    </row>
    <row r="218" spans="1:16" x14ac:dyDescent="0.25">
      <c r="A218" s="30"/>
      <c r="B218" s="142" t="s">
        <v>841</v>
      </c>
      <c r="C218" s="30"/>
      <c r="D218" s="30" t="s">
        <v>450</v>
      </c>
      <c r="E218" s="30"/>
      <c r="F218" s="17" t="s">
        <v>58</v>
      </c>
      <c r="G218" s="30" t="s">
        <v>816</v>
      </c>
      <c r="H218" s="30">
        <v>81454</v>
      </c>
      <c r="I218" s="30">
        <v>81460</v>
      </c>
      <c r="J218" s="30">
        <f t="shared" si="15"/>
        <v>6</v>
      </c>
      <c r="K218" s="17">
        <v>18</v>
      </c>
      <c r="L218" s="30">
        <f t="shared" si="16"/>
        <v>108</v>
      </c>
      <c r="M218" s="30" t="s">
        <v>704</v>
      </c>
      <c r="N218" s="30" t="s">
        <v>350</v>
      </c>
      <c r="O218" s="30" t="s">
        <v>814</v>
      </c>
      <c r="P218" s="30"/>
    </row>
    <row r="219" spans="1:16" x14ac:dyDescent="0.25">
      <c r="A219" s="30"/>
      <c r="B219" s="142" t="s">
        <v>841</v>
      </c>
      <c r="C219" s="30"/>
      <c r="D219" s="30" t="s">
        <v>450</v>
      </c>
      <c r="E219" s="30"/>
      <c r="F219" s="17" t="s">
        <v>58</v>
      </c>
      <c r="G219" s="30" t="s">
        <v>817</v>
      </c>
      <c r="H219" s="30">
        <v>81460</v>
      </c>
      <c r="I219" s="30">
        <v>81466</v>
      </c>
      <c r="J219" s="30">
        <f t="shared" si="15"/>
        <v>6</v>
      </c>
      <c r="K219" s="17">
        <v>18</v>
      </c>
      <c r="L219" s="30">
        <f t="shared" si="16"/>
        <v>108</v>
      </c>
      <c r="M219" s="17" t="s">
        <v>137</v>
      </c>
      <c r="N219" s="30" t="s">
        <v>224</v>
      </c>
      <c r="O219" s="30" t="s">
        <v>35</v>
      </c>
      <c r="P219" s="30"/>
    </row>
    <row r="220" spans="1:16" x14ac:dyDescent="0.25">
      <c r="A220" s="30"/>
      <c r="B220" s="142" t="s">
        <v>842</v>
      </c>
      <c r="C220" s="30"/>
      <c r="D220" s="30" t="s">
        <v>450</v>
      </c>
      <c r="E220" s="30"/>
      <c r="F220" s="17" t="s">
        <v>58</v>
      </c>
      <c r="G220" s="30" t="s">
        <v>819</v>
      </c>
      <c r="H220" s="30">
        <v>81466</v>
      </c>
      <c r="I220" s="30">
        <v>81480</v>
      </c>
      <c r="J220" s="30">
        <f t="shared" si="15"/>
        <v>14</v>
      </c>
      <c r="K220" s="17">
        <v>18</v>
      </c>
      <c r="L220" s="30">
        <f t="shared" si="16"/>
        <v>252</v>
      </c>
      <c r="M220" s="30" t="s">
        <v>704</v>
      </c>
      <c r="N220" s="30" t="s">
        <v>461</v>
      </c>
      <c r="O220" s="30" t="s">
        <v>827</v>
      </c>
      <c r="P220" s="30"/>
    </row>
    <row r="221" spans="1:16" x14ac:dyDescent="0.25">
      <c r="A221" s="30"/>
      <c r="B221" s="142" t="s">
        <v>843</v>
      </c>
      <c r="C221" s="30"/>
      <c r="D221" s="30" t="s">
        <v>450</v>
      </c>
      <c r="E221" s="30"/>
      <c r="F221" s="17" t="s">
        <v>58</v>
      </c>
      <c r="G221" s="30" t="s">
        <v>844</v>
      </c>
      <c r="H221" s="30">
        <v>81480</v>
      </c>
      <c r="I221" s="30">
        <v>81487</v>
      </c>
      <c r="J221" s="30">
        <f t="shared" si="15"/>
        <v>7</v>
      </c>
      <c r="K221" s="17">
        <v>18</v>
      </c>
      <c r="L221" s="30">
        <f t="shared" si="16"/>
        <v>126</v>
      </c>
      <c r="M221" s="17" t="s">
        <v>137</v>
      </c>
      <c r="N221" s="30" t="s">
        <v>550</v>
      </c>
      <c r="O221" s="30" t="s">
        <v>50</v>
      </c>
      <c r="P221" s="30"/>
    </row>
    <row r="222" spans="1:16" x14ac:dyDescent="0.25">
      <c r="A222" s="93"/>
      <c r="B222" s="142" t="s">
        <v>847</v>
      </c>
      <c r="C222" s="30"/>
      <c r="D222" s="30" t="s">
        <v>18</v>
      </c>
      <c r="E222" s="30"/>
      <c r="F222" s="17" t="s">
        <v>184</v>
      </c>
      <c r="G222" s="30" t="s">
        <v>864</v>
      </c>
      <c r="H222" s="30">
        <v>81487</v>
      </c>
      <c r="I222" s="30">
        <v>81499</v>
      </c>
      <c r="J222" s="30">
        <f t="shared" si="15"/>
        <v>12</v>
      </c>
      <c r="K222" s="17">
        <v>18</v>
      </c>
      <c r="L222" s="30">
        <f t="shared" si="16"/>
        <v>216</v>
      </c>
      <c r="M222" s="17" t="s">
        <v>137</v>
      </c>
      <c r="N222" s="30" t="s">
        <v>849</v>
      </c>
      <c r="O222" s="30" t="s">
        <v>850</v>
      </c>
      <c r="P222" s="30"/>
    </row>
    <row r="223" spans="1:16" x14ac:dyDescent="0.25">
      <c r="A223" s="30"/>
      <c r="B223" s="142" t="s">
        <v>847</v>
      </c>
      <c r="C223" s="30"/>
      <c r="D223" s="30" t="s">
        <v>450</v>
      </c>
      <c r="E223" s="30"/>
      <c r="F223" s="17" t="s">
        <v>58</v>
      </c>
      <c r="G223" s="30" t="s">
        <v>846</v>
      </c>
      <c r="H223" s="30">
        <v>81499</v>
      </c>
      <c r="I223" s="30">
        <v>81505</v>
      </c>
      <c r="J223" s="30">
        <f t="shared" si="15"/>
        <v>6</v>
      </c>
      <c r="K223" s="17">
        <v>18</v>
      </c>
      <c r="L223" s="30">
        <f t="shared" si="16"/>
        <v>108</v>
      </c>
      <c r="M223" s="17" t="s">
        <v>137</v>
      </c>
      <c r="N223" s="30" t="s">
        <v>550</v>
      </c>
      <c r="O223" s="30" t="s">
        <v>848</v>
      </c>
      <c r="P223" s="30"/>
    </row>
    <row r="224" spans="1:16" x14ac:dyDescent="0.25">
      <c r="A224" s="30"/>
      <c r="B224" s="142" t="s">
        <v>851</v>
      </c>
      <c r="C224" s="30"/>
      <c r="D224" s="30" t="s">
        <v>450</v>
      </c>
      <c r="E224" s="30"/>
      <c r="F224" s="17" t="s">
        <v>58</v>
      </c>
      <c r="G224" s="30" t="s">
        <v>855</v>
      </c>
      <c r="H224" s="30">
        <v>81505</v>
      </c>
      <c r="I224" s="30">
        <v>81536</v>
      </c>
      <c r="J224" s="30">
        <f t="shared" si="15"/>
        <v>31</v>
      </c>
      <c r="K224" s="17">
        <v>18</v>
      </c>
      <c r="L224" s="30">
        <f t="shared" si="16"/>
        <v>558</v>
      </c>
      <c r="M224" s="17" t="s">
        <v>137</v>
      </c>
      <c r="N224" s="30" t="s">
        <v>210</v>
      </c>
      <c r="O224" s="30" t="s">
        <v>54</v>
      </c>
      <c r="P224" s="30"/>
    </row>
    <row r="225" spans="1:22" x14ac:dyDescent="0.25">
      <c r="A225" s="30"/>
      <c r="B225" s="142" t="s">
        <v>851</v>
      </c>
      <c r="C225" s="30"/>
      <c r="D225" s="30" t="s">
        <v>450</v>
      </c>
      <c r="E225" s="30"/>
      <c r="F225" s="17" t="s">
        <v>58</v>
      </c>
      <c r="G225" s="30" t="s">
        <v>856</v>
      </c>
      <c r="H225" s="30">
        <v>81537</v>
      </c>
      <c r="I225" s="30">
        <v>81544</v>
      </c>
      <c r="J225" s="30">
        <f t="shared" si="15"/>
        <v>7</v>
      </c>
      <c r="K225" s="17">
        <v>18</v>
      </c>
      <c r="L225" s="30">
        <f t="shared" si="16"/>
        <v>126</v>
      </c>
      <c r="M225" s="17" t="s">
        <v>137</v>
      </c>
      <c r="N225" s="30" t="s">
        <v>770</v>
      </c>
      <c r="O225" s="30" t="s">
        <v>66</v>
      </c>
      <c r="P225" s="30"/>
    </row>
    <row r="226" spans="1:22" x14ac:dyDescent="0.25">
      <c r="A226" s="30"/>
      <c r="B226" s="142" t="s">
        <v>851</v>
      </c>
      <c r="C226" s="30"/>
      <c r="D226" s="30" t="s">
        <v>450</v>
      </c>
      <c r="E226" s="30"/>
      <c r="F226" s="17" t="s">
        <v>58</v>
      </c>
      <c r="G226" s="30" t="s">
        <v>857</v>
      </c>
      <c r="H226" s="30">
        <v>81544</v>
      </c>
      <c r="I226" s="30">
        <v>81552</v>
      </c>
      <c r="J226" s="30">
        <f t="shared" si="15"/>
        <v>8</v>
      </c>
      <c r="K226" s="17">
        <v>18</v>
      </c>
      <c r="L226" s="30">
        <f t="shared" si="16"/>
        <v>144</v>
      </c>
      <c r="M226" s="17" t="s">
        <v>137</v>
      </c>
      <c r="N226" s="30" t="s">
        <v>852</v>
      </c>
      <c r="O226" s="30" t="s">
        <v>747</v>
      </c>
      <c r="P226" s="30"/>
    </row>
    <row r="227" spans="1:22" x14ac:dyDescent="0.25">
      <c r="A227" s="30"/>
      <c r="B227" s="142" t="s">
        <v>854</v>
      </c>
      <c r="C227" s="30"/>
      <c r="D227" s="30" t="s">
        <v>450</v>
      </c>
      <c r="E227" s="30"/>
      <c r="F227" s="17" t="s">
        <v>58</v>
      </c>
      <c r="G227" s="30" t="s">
        <v>853</v>
      </c>
      <c r="H227" s="30">
        <v>81552</v>
      </c>
      <c r="I227" s="30">
        <v>81583</v>
      </c>
      <c r="J227" s="30">
        <f t="shared" si="15"/>
        <v>31</v>
      </c>
      <c r="K227" s="17">
        <v>18</v>
      </c>
      <c r="L227" s="30">
        <f t="shared" si="16"/>
        <v>558</v>
      </c>
      <c r="M227" s="30" t="s">
        <v>812</v>
      </c>
      <c r="N227" s="30" t="s">
        <v>858</v>
      </c>
      <c r="O227" s="30" t="s">
        <v>536</v>
      </c>
      <c r="P227" s="30"/>
    </row>
    <row r="228" spans="1:22" x14ac:dyDescent="0.25">
      <c r="A228" s="93"/>
      <c r="B228" s="142" t="s">
        <v>870</v>
      </c>
      <c r="C228" s="30"/>
      <c r="D228" s="30" t="s">
        <v>866</v>
      </c>
      <c r="E228" s="30"/>
      <c r="F228" s="30" t="s">
        <v>865</v>
      </c>
      <c r="G228" s="30" t="s">
        <v>875</v>
      </c>
      <c r="H228" s="30">
        <v>81583</v>
      </c>
      <c r="I228" s="30">
        <v>81595</v>
      </c>
      <c r="J228" s="30">
        <f t="shared" si="15"/>
        <v>12</v>
      </c>
      <c r="K228" s="17">
        <v>18</v>
      </c>
      <c r="L228" s="30">
        <f t="shared" si="16"/>
        <v>216</v>
      </c>
      <c r="M228" s="17" t="s">
        <v>137</v>
      </c>
      <c r="N228" s="30" t="s">
        <v>871</v>
      </c>
      <c r="O228" s="30" t="s">
        <v>872</v>
      </c>
      <c r="P228" s="30"/>
    </row>
    <row r="229" spans="1:22" x14ac:dyDescent="0.25">
      <c r="A229" s="30"/>
      <c r="B229" s="142" t="s">
        <v>873</v>
      </c>
      <c r="C229" s="30"/>
      <c r="D229" s="30" t="s">
        <v>450</v>
      </c>
      <c r="E229" s="30"/>
      <c r="F229" s="17" t="s">
        <v>58</v>
      </c>
      <c r="G229" s="30" t="s">
        <v>882</v>
      </c>
      <c r="H229" s="30">
        <v>81595</v>
      </c>
      <c r="I229" s="30">
        <v>81624</v>
      </c>
      <c r="J229" s="30">
        <f t="shared" si="15"/>
        <v>29</v>
      </c>
      <c r="K229" s="17">
        <v>18</v>
      </c>
      <c r="L229" s="30">
        <f t="shared" si="16"/>
        <v>522</v>
      </c>
      <c r="M229" s="30" t="s">
        <v>381</v>
      </c>
      <c r="N229" s="30" t="s">
        <v>38</v>
      </c>
      <c r="O229" s="30" t="s">
        <v>874</v>
      </c>
      <c r="P229" s="30"/>
    </row>
    <row r="230" spans="1:22" x14ac:dyDescent="0.25">
      <c r="A230" s="93"/>
      <c r="B230" s="142" t="s">
        <v>876</v>
      </c>
      <c r="C230" s="30"/>
      <c r="D230" s="30" t="s">
        <v>866</v>
      </c>
      <c r="E230" s="30"/>
      <c r="F230" s="30" t="s">
        <v>884</v>
      </c>
      <c r="G230" s="30" t="s">
        <v>883</v>
      </c>
      <c r="H230" s="30">
        <v>81624</v>
      </c>
      <c r="I230" s="30">
        <v>81643</v>
      </c>
      <c r="J230" s="30">
        <f t="shared" si="15"/>
        <v>19</v>
      </c>
      <c r="K230" s="17">
        <v>18</v>
      </c>
      <c r="L230" s="30">
        <f t="shared" si="16"/>
        <v>342</v>
      </c>
      <c r="M230" s="17" t="s">
        <v>137</v>
      </c>
      <c r="N230" s="30" t="s">
        <v>196</v>
      </c>
      <c r="O230" s="30" t="s">
        <v>880</v>
      </c>
      <c r="P230" s="30"/>
    </row>
    <row r="231" spans="1:22" x14ac:dyDescent="0.25">
      <c r="A231" s="30"/>
      <c r="B231" s="142" t="s">
        <v>876</v>
      </c>
      <c r="C231" s="30"/>
      <c r="D231" s="30" t="s">
        <v>450</v>
      </c>
      <c r="E231" s="30"/>
      <c r="F231" s="17" t="s">
        <v>58</v>
      </c>
      <c r="G231" s="30" t="s">
        <v>877</v>
      </c>
      <c r="H231" s="30">
        <v>81643</v>
      </c>
      <c r="I231" s="30">
        <v>81649</v>
      </c>
      <c r="J231" s="30">
        <f t="shared" si="15"/>
        <v>6</v>
      </c>
      <c r="K231" s="17">
        <v>18</v>
      </c>
      <c r="L231" s="30">
        <f t="shared" si="16"/>
        <v>108</v>
      </c>
      <c r="M231" s="17" t="s">
        <v>137</v>
      </c>
      <c r="N231" s="30" t="s">
        <v>795</v>
      </c>
      <c r="O231" s="30" t="s">
        <v>417</v>
      </c>
      <c r="P231" s="30"/>
    </row>
    <row r="232" spans="1:22" x14ac:dyDescent="0.25">
      <c r="A232" s="93"/>
      <c r="B232" s="142" t="s">
        <v>881</v>
      </c>
      <c r="C232" s="30"/>
      <c r="D232" s="30" t="s">
        <v>866</v>
      </c>
      <c r="E232" s="30"/>
      <c r="F232" s="30" t="s">
        <v>884</v>
      </c>
      <c r="G232" s="30" t="s">
        <v>885</v>
      </c>
      <c r="H232" s="30">
        <v>81649</v>
      </c>
      <c r="I232" s="30">
        <v>81663</v>
      </c>
      <c r="J232" s="30">
        <f t="shared" si="15"/>
        <v>14</v>
      </c>
      <c r="K232" s="17">
        <v>18</v>
      </c>
      <c r="L232" s="30">
        <f t="shared" si="16"/>
        <v>252</v>
      </c>
      <c r="M232" s="30" t="s">
        <v>878</v>
      </c>
      <c r="N232" s="30" t="s">
        <v>247</v>
      </c>
      <c r="O232" s="30" t="s">
        <v>879</v>
      </c>
      <c r="P232" s="30"/>
    </row>
    <row r="233" spans="1:22" x14ac:dyDescent="0.25">
      <c r="A233" s="93"/>
      <c r="B233" s="142" t="s">
        <v>886</v>
      </c>
      <c r="C233" s="30"/>
      <c r="D233" s="30" t="s">
        <v>887</v>
      </c>
      <c r="E233" s="30"/>
      <c r="F233" s="30" t="s">
        <v>184</v>
      </c>
      <c r="G233" s="30" t="s">
        <v>888</v>
      </c>
      <c r="H233" s="30">
        <v>81663</v>
      </c>
      <c r="I233" s="30">
        <v>81674</v>
      </c>
      <c r="J233" s="30">
        <f t="shared" si="15"/>
        <v>11</v>
      </c>
      <c r="K233" s="17">
        <v>18</v>
      </c>
      <c r="L233" s="30">
        <f t="shared" si="16"/>
        <v>198</v>
      </c>
      <c r="M233" s="17" t="s">
        <v>137</v>
      </c>
      <c r="N233" s="30" t="s">
        <v>160</v>
      </c>
      <c r="O233" s="30" t="s">
        <v>889</v>
      </c>
      <c r="P233" s="30"/>
    </row>
    <row r="234" spans="1:22" x14ac:dyDescent="0.25">
      <c r="A234" s="30"/>
      <c r="B234" s="142" t="s">
        <v>886</v>
      </c>
      <c r="C234" s="30"/>
      <c r="D234" s="30" t="s">
        <v>450</v>
      </c>
      <c r="E234" s="30"/>
      <c r="F234" s="17" t="s">
        <v>58</v>
      </c>
      <c r="G234" s="30" t="s">
        <v>891</v>
      </c>
      <c r="H234" s="30">
        <v>81674</v>
      </c>
      <c r="I234" s="30">
        <v>81680</v>
      </c>
      <c r="J234" s="30">
        <f t="shared" si="15"/>
        <v>6</v>
      </c>
      <c r="K234" s="17">
        <v>18</v>
      </c>
      <c r="L234" s="30">
        <f t="shared" si="16"/>
        <v>108</v>
      </c>
      <c r="M234" s="17" t="s">
        <v>137</v>
      </c>
      <c r="N234" s="30" t="s">
        <v>890</v>
      </c>
      <c r="O234" s="30" t="s">
        <v>655</v>
      </c>
      <c r="P234" s="30"/>
    </row>
    <row r="235" spans="1:22" x14ac:dyDescent="0.25">
      <c r="A235" s="30"/>
      <c r="B235" s="161"/>
      <c r="C235" s="30"/>
      <c r="D235" s="30"/>
      <c r="E235" s="30"/>
      <c r="F235" s="30"/>
      <c r="G235" s="30" t="s">
        <v>896</v>
      </c>
      <c r="H235" s="30"/>
      <c r="I235" s="30"/>
      <c r="J235" s="30"/>
      <c r="K235" s="30"/>
      <c r="L235" s="30"/>
      <c r="M235" s="30"/>
      <c r="N235" s="30"/>
      <c r="O235" s="30"/>
      <c r="P235" s="30"/>
    </row>
    <row r="236" spans="1:22" x14ac:dyDescent="0.25">
      <c r="A236" s="30"/>
      <c r="B236" s="161"/>
      <c r="C236" s="30"/>
      <c r="D236" s="30"/>
      <c r="E236" s="30"/>
      <c r="F236" s="30"/>
      <c r="G236" s="30" t="s">
        <v>175</v>
      </c>
      <c r="H236" s="30"/>
      <c r="I236" s="30"/>
      <c r="J236" s="30"/>
      <c r="K236" s="30"/>
      <c r="L236" s="30"/>
      <c r="M236" s="30"/>
      <c r="N236" s="30"/>
      <c r="O236" s="30"/>
      <c r="P236" s="30"/>
    </row>
    <row r="237" spans="1:22" x14ac:dyDescent="0.25">
      <c r="A237" s="30"/>
      <c r="B237" s="161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</row>
    <row r="238" spans="1:22" ht="47.25" x14ac:dyDescent="0.25">
      <c r="A238" s="41" t="s">
        <v>148</v>
      </c>
      <c r="B238" s="141" t="s">
        <v>0</v>
      </c>
      <c r="C238" s="42" t="s">
        <v>206</v>
      </c>
      <c r="D238" s="43" t="s">
        <v>1</v>
      </c>
      <c r="E238" s="43" t="s">
        <v>2</v>
      </c>
      <c r="F238" s="43" t="s">
        <v>202</v>
      </c>
      <c r="G238" s="43" t="s">
        <v>4</v>
      </c>
      <c r="H238" s="59" t="s">
        <v>5</v>
      </c>
      <c r="I238" s="60" t="s">
        <v>6</v>
      </c>
      <c r="J238" s="60" t="s">
        <v>7</v>
      </c>
      <c r="K238" s="61" t="s">
        <v>203</v>
      </c>
      <c r="L238" s="62" t="s">
        <v>204</v>
      </c>
      <c r="M238" s="53" t="s">
        <v>10</v>
      </c>
      <c r="N238" s="54" t="s">
        <v>8</v>
      </c>
      <c r="O238" s="55" t="s">
        <v>9</v>
      </c>
      <c r="P238" s="56" t="s">
        <v>11</v>
      </c>
      <c r="Q238" s="56" t="s">
        <v>205</v>
      </c>
      <c r="R238" s="57" t="s">
        <v>147</v>
      </c>
      <c r="S238" s="58" t="s">
        <v>12</v>
      </c>
      <c r="T238" s="48" t="s">
        <v>14</v>
      </c>
      <c r="U238" s="46" t="s">
        <v>149</v>
      </c>
      <c r="V238" s="46" t="s">
        <v>15</v>
      </c>
    </row>
    <row r="239" spans="1:22" x14ac:dyDescent="0.25">
      <c r="A239" s="17"/>
      <c r="B239" s="142" t="s">
        <v>897</v>
      </c>
      <c r="C239" s="30"/>
      <c r="D239" s="30" t="s">
        <v>429</v>
      </c>
      <c r="E239" s="30"/>
      <c r="F239" s="17" t="s">
        <v>58</v>
      </c>
      <c r="G239" s="30" t="s">
        <v>898</v>
      </c>
      <c r="H239" s="30">
        <v>81681</v>
      </c>
      <c r="I239" s="30">
        <v>81696</v>
      </c>
      <c r="J239" s="30">
        <f t="shared" ref="J239:J278" si="17">SUM(I239-H239)</f>
        <v>15</v>
      </c>
      <c r="K239" s="17">
        <v>18</v>
      </c>
      <c r="L239" s="30">
        <f t="shared" ref="L239:L278" si="18">J239*K239</f>
        <v>270</v>
      </c>
      <c r="M239" s="17" t="s">
        <v>137</v>
      </c>
      <c r="N239" s="30" t="s">
        <v>289</v>
      </c>
      <c r="O239" s="30" t="s">
        <v>350</v>
      </c>
      <c r="P239" s="30"/>
    </row>
    <row r="240" spans="1:22" x14ac:dyDescent="0.25">
      <c r="A240" s="93"/>
      <c r="B240" s="142" t="s">
        <v>897</v>
      </c>
      <c r="C240" s="30"/>
      <c r="D240" s="30" t="s">
        <v>553</v>
      </c>
      <c r="E240" s="30"/>
      <c r="F240" s="30" t="s">
        <v>175</v>
      </c>
      <c r="G240" s="30" t="s">
        <v>904</v>
      </c>
      <c r="H240" s="30">
        <v>81696</v>
      </c>
      <c r="I240" s="30">
        <v>81703</v>
      </c>
      <c r="J240" s="30">
        <f t="shared" si="17"/>
        <v>7</v>
      </c>
      <c r="K240" s="17">
        <v>18</v>
      </c>
      <c r="L240" s="30">
        <f t="shared" si="18"/>
        <v>126</v>
      </c>
      <c r="M240" s="17" t="s">
        <v>137</v>
      </c>
      <c r="N240" s="30" t="s">
        <v>460</v>
      </c>
      <c r="O240" s="30" t="s">
        <v>66</v>
      </c>
      <c r="P240" s="30"/>
    </row>
    <row r="241" spans="1:18" x14ac:dyDescent="0.25">
      <c r="A241" s="93"/>
      <c r="B241" s="142" t="s">
        <v>899</v>
      </c>
      <c r="C241" s="30"/>
      <c r="D241" s="30" t="s">
        <v>141</v>
      </c>
      <c r="E241" s="30"/>
      <c r="F241" s="30" t="s">
        <v>900</v>
      </c>
      <c r="G241" s="30" t="s">
        <v>901</v>
      </c>
      <c r="H241" s="30">
        <v>81703</v>
      </c>
      <c r="I241" s="30">
        <v>81715</v>
      </c>
      <c r="J241" s="30">
        <f t="shared" si="17"/>
        <v>12</v>
      </c>
      <c r="K241" s="17">
        <v>18</v>
      </c>
      <c r="L241" s="30">
        <f t="shared" si="18"/>
        <v>216</v>
      </c>
      <c r="M241" s="17" t="s">
        <v>39</v>
      </c>
      <c r="N241" s="30" t="s">
        <v>902</v>
      </c>
      <c r="O241" s="30" t="s">
        <v>903</v>
      </c>
      <c r="P241" s="30"/>
    </row>
    <row r="242" spans="1:18" x14ac:dyDescent="0.25">
      <c r="A242" s="30"/>
      <c r="B242" s="142" t="s">
        <v>899</v>
      </c>
      <c r="C242" s="30"/>
      <c r="D242" s="30" t="s">
        <v>450</v>
      </c>
      <c r="E242" s="30"/>
      <c r="F242" s="30" t="s">
        <v>58</v>
      </c>
      <c r="G242" s="30" t="s">
        <v>905</v>
      </c>
      <c r="H242" s="30">
        <v>81716</v>
      </c>
      <c r="I242" s="30">
        <v>81718</v>
      </c>
      <c r="J242" s="30">
        <f t="shared" si="17"/>
        <v>2</v>
      </c>
      <c r="K242" s="17">
        <v>18</v>
      </c>
      <c r="L242" s="30">
        <f t="shared" si="18"/>
        <v>36</v>
      </c>
      <c r="M242" s="17" t="s">
        <v>137</v>
      </c>
      <c r="N242" s="30" t="s">
        <v>80</v>
      </c>
      <c r="O242" s="30" t="s">
        <v>47</v>
      </c>
      <c r="P242" s="30"/>
    </row>
    <row r="243" spans="1:18" x14ac:dyDescent="0.25">
      <c r="A243" s="30"/>
      <c r="B243" s="142" t="s">
        <v>911</v>
      </c>
      <c r="C243" s="30"/>
      <c r="D243" s="30" t="s">
        <v>450</v>
      </c>
      <c r="E243" s="30"/>
      <c r="F243" s="30" t="s">
        <v>58</v>
      </c>
      <c r="G243" s="30" t="s">
        <v>906</v>
      </c>
      <c r="H243" s="30">
        <v>81718</v>
      </c>
      <c r="I243" s="30">
        <v>81720</v>
      </c>
      <c r="J243" s="30">
        <f t="shared" si="17"/>
        <v>2</v>
      </c>
      <c r="K243" s="17">
        <v>18</v>
      </c>
      <c r="L243" s="30">
        <f t="shared" si="18"/>
        <v>36</v>
      </c>
      <c r="M243" s="17" t="s">
        <v>137</v>
      </c>
      <c r="N243" s="30" t="s">
        <v>339</v>
      </c>
      <c r="O243" s="30" t="s">
        <v>604</v>
      </c>
      <c r="P243" s="30"/>
    </row>
    <row r="244" spans="1:18" x14ac:dyDescent="0.25">
      <c r="A244" s="93"/>
      <c r="B244" s="142" t="s">
        <v>911</v>
      </c>
      <c r="C244" s="30"/>
      <c r="D244" s="30" t="s">
        <v>913</v>
      </c>
      <c r="E244" s="30"/>
      <c r="F244" s="30" t="s">
        <v>404</v>
      </c>
      <c r="G244" s="30" t="s">
        <v>907</v>
      </c>
      <c r="H244" s="30">
        <v>81720</v>
      </c>
      <c r="I244" s="30">
        <v>81731</v>
      </c>
      <c r="J244" s="30">
        <f t="shared" si="17"/>
        <v>11</v>
      </c>
      <c r="K244" s="17">
        <v>18</v>
      </c>
      <c r="L244" s="30">
        <f t="shared" si="18"/>
        <v>198</v>
      </c>
      <c r="M244" s="17" t="s">
        <v>137</v>
      </c>
      <c r="N244" s="30" t="s">
        <v>210</v>
      </c>
      <c r="O244" s="30" t="s">
        <v>481</v>
      </c>
      <c r="P244" s="30"/>
    </row>
    <row r="245" spans="1:18" x14ac:dyDescent="0.25">
      <c r="A245" s="30"/>
      <c r="B245" s="142" t="s">
        <v>911</v>
      </c>
      <c r="C245" s="30"/>
      <c r="D245" s="30" t="s">
        <v>450</v>
      </c>
      <c r="E245" s="30"/>
      <c r="F245" s="30" t="s">
        <v>58</v>
      </c>
      <c r="G245" s="30" t="s">
        <v>908</v>
      </c>
      <c r="H245" s="30">
        <v>81731</v>
      </c>
      <c r="I245" s="30">
        <v>81737</v>
      </c>
      <c r="J245" s="30">
        <f t="shared" si="17"/>
        <v>6</v>
      </c>
      <c r="K245" s="17">
        <v>18</v>
      </c>
      <c r="L245" s="30">
        <f t="shared" si="18"/>
        <v>108</v>
      </c>
      <c r="M245" s="17" t="s">
        <v>137</v>
      </c>
      <c r="N245" s="30" t="s">
        <v>218</v>
      </c>
      <c r="O245" s="30" t="s">
        <v>909</v>
      </c>
      <c r="P245" s="30"/>
    </row>
    <row r="246" spans="1:18" x14ac:dyDescent="0.25">
      <c r="A246" s="30"/>
      <c r="B246" s="142" t="s">
        <v>912</v>
      </c>
      <c r="C246" s="30"/>
      <c r="D246" s="30" t="s">
        <v>450</v>
      </c>
      <c r="E246" s="30"/>
      <c r="F246" s="30" t="s">
        <v>58</v>
      </c>
      <c r="G246" s="30" t="s">
        <v>910</v>
      </c>
      <c r="H246" s="30">
        <v>81738</v>
      </c>
      <c r="I246" s="30">
        <v>81763</v>
      </c>
      <c r="J246" s="30">
        <f t="shared" si="17"/>
        <v>25</v>
      </c>
      <c r="K246" s="17">
        <v>18</v>
      </c>
      <c r="L246" s="30">
        <f t="shared" si="18"/>
        <v>450</v>
      </c>
      <c r="M246" s="17" t="s">
        <v>137</v>
      </c>
      <c r="N246" s="30" t="s">
        <v>125</v>
      </c>
      <c r="O246" s="30" t="s">
        <v>167</v>
      </c>
      <c r="P246" s="30"/>
    </row>
    <row r="247" spans="1:18" x14ac:dyDescent="0.25">
      <c r="B247" s="142" t="s">
        <v>912</v>
      </c>
      <c r="C247" s="30"/>
      <c r="D247" s="30" t="s">
        <v>450</v>
      </c>
      <c r="E247" s="30"/>
      <c r="F247" s="30" t="s">
        <v>58</v>
      </c>
      <c r="G247" s="30" t="s">
        <v>914</v>
      </c>
      <c r="H247" s="30">
        <v>81763</v>
      </c>
      <c r="I247" s="30">
        <v>81785</v>
      </c>
      <c r="J247" s="30">
        <f t="shared" si="17"/>
        <v>22</v>
      </c>
      <c r="K247" s="17">
        <v>18</v>
      </c>
      <c r="L247" s="30">
        <f t="shared" si="18"/>
        <v>396</v>
      </c>
      <c r="M247" s="17" t="s">
        <v>137</v>
      </c>
      <c r="N247" s="30" t="s">
        <v>795</v>
      </c>
      <c r="O247" s="30" t="s">
        <v>156</v>
      </c>
      <c r="P247" s="30"/>
    </row>
    <row r="248" spans="1:18" x14ac:dyDescent="0.25">
      <c r="B248" s="142" t="s">
        <v>912</v>
      </c>
      <c r="C248" s="30"/>
      <c r="D248" s="30" t="s">
        <v>450</v>
      </c>
      <c r="E248" s="30"/>
      <c r="F248" s="30" t="s">
        <v>58</v>
      </c>
      <c r="G248" s="30" t="s">
        <v>916</v>
      </c>
      <c r="H248" s="30">
        <v>81786</v>
      </c>
      <c r="I248" s="30">
        <v>81851</v>
      </c>
      <c r="J248" s="30">
        <f t="shared" si="17"/>
        <v>65</v>
      </c>
      <c r="K248" s="17">
        <v>18</v>
      </c>
      <c r="L248" s="30">
        <f t="shared" si="18"/>
        <v>1170</v>
      </c>
      <c r="M248" s="17" t="s">
        <v>137</v>
      </c>
      <c r="N248" s="30" t="s">
        <v>479</v>
      </c>
      <c r="O248" s="30" t="s">
        <v>915</v>
      </c>
      <c r="P248" s="30"/>
    </row>
    <row r="249" spans="1:18" x14ac:dyDescent="0.25">
      <c r="B249" s="142" t="s">
        <v>917</v>
      </c>
      <c r="C249" s="30"/>
      <c r="D249" s="30" t="s">
        <v>450</v>
      </c>
      <c r="E249" s="30"/>
      <c r="F249" s="30" t="s">
        <v>58</v>
      </c>
      <c r="G249" s="30" t="s">
        <v>918</v>
      </c>
      <c r="H249" s="30">
        <v>81851</v>
      </c>
      <c r="I249" s="30">
        <v>81852</v>
      </c>
      <c r="J249" s="30">
        <f t="shared" si="17"/>
        <v>1</v>
      </c>
      <c r="K249" s="17">
        <v>18</v>
      </c>
      <c r="L249" s="30">
        <f t="shared" si="18"/>
        <v>18</v>
      </c>
      <c r="M249" s="17" t="s">
        <v>137</v>
      </c>
      <c r="N249" s="91" t="s">
        <v>307</v>
      </c>
      <c r="O249" s="30" t="s">
        <v>156</v>
      </c>
      <c r="P249" s="30"/>
    </row>
    <row r="250" spans="1:18" x14ac:dyDescent="0.25">
      <c r="B250" s="142" t="s">
        <v>917</v>
      </c>
      <c r="C250" s="30"/>
      <c r="D250" s="30" t="s">
        <v>450</v>
      </c>
      <c r="E250" s="30"/>
      <c r="F250" s="30" t="s">
        <v>58</v>
      </c>
      <c r="G250" s="30" t="s">
        <v>919</v>
      </c>
      <c r="H250" s="30">
        <v>81852</v>
      </c>
      <c r="I250" s="30">
        <v>81858</v>
      </c>
      <c r="J250" s="30">
        <f t="shared" si="17"/>
        <v>6</v>
      </c>
      <c r="K250" s="17">
        <v>18</v>
      </c>
      <c r="L250" s="30">
        <f t="shared" si="18"/>
        <v>108</v>
      </c>
      <c r="M250" s="17" t="s">
        <v>137</v>
      </c>
      <c r="N250" s="30" t="s">
        <v>237</v>
      </c>
      <c r="O250" s="30" t="s">
        <v>331</v>
      </c>
      <c r="P250" s="30"/>
    </row>
    <row r="251" spans="1:18" x14ac:dyDescent="0.25">
      <c r="B251" s="142" t="s">
        <v>921</v>
      </c>
      <c r="C251" s="30"/>
      <c r="D251" s="30" t="s">
        <v>450</v>
      </c>
      <c r="E251" s="30"/>
      <c r="F251" s="30" t="s">
        <v>58</v>
      </c>
      <c r="G251" s="30" t="s">
        <v>920</v>
      </c>
      <c r="H251" s="30">
        <v>81858</v>
      </c>
      <c r="I251" s="30">
        <v>81864</v>
      </c>
      <c r="J251" s="30">
        <f t="shared" si="17"/>
        <v>6</v>
      </c>
      <c r="K251" s="17">
        <v>18</v>
      </c>
      <c r="L251" s="30">
        <f t="shared" si="18"/>
        <v>108</v>
      </c>
      <c r="M251" s="17" t="s">
        <v>137</v>
      </c>
      <c r="N251" s="30" t="s">
        <v>237</v>
      </c>
      <c r="O251" s="30" t="s">
        <v>34</v>
      </c>
      <c r="P251" s="30"/>
    </row>
    <row r="252" spans="1:18" x14ac:dyDescent="0.25">
      <c r="B252" s="142" t="s">
        <v>924</v>
      </c>
      <c r="C252" s="30"/>
      <c r="D252" s="30" t="s">
        <v>450</v>
      </c>
      <c r="E252" s="30"/>
      <c r="F252" s="30" t="s">
        <v>58</v>
      </c>
      <c r="G252" s="30" t="s">
        <v>930</v>
      </c>
      <c r="H252" s="30">
        <v>81864</v>
      </c>
      <c r="I252" s="30">
        <v>81940</v>
      </c>
      <c r="J252" s="30">
        <f t="shared" si="17"/>
        <v>76</v>
      </c>
      <c r="K252" s="17">
        <v>18</v>
      </c>
      <c r="L252" s="30">
        <f t="shared" si="18"/>
        <v>1368</v>
      </c>
      <c r="M252" s="17" t="s">
        <v>137</v>
      </c>
      <c r="N252" s="30" t="s">
        <v>925</v>
      </c>
      <c r="O252" s="30" t="s">
        <v>389</v>
      </c>
      <c r="P252" s="30"/>
    </row>
    <row r="253" spans="1:18" x14ac:dyDescent="0.25">
      <c r="B253" s="142" t="s">
        <v>926</v>
      </c>
      <c r="C253" s="30"/>
      <c r="D253" s="30" t="s">
        <v>450</v>
      </c>
      <c r="E253" s="30"/>
      <c r="F253" s="30" t="s">
        <v>58</v>
      </c>
      <c r="G253" s="30" t="s">
        <v>929</v>
      </c>
      <c r="H253" s="30">
        <v>81940</v>
      </c>
      <c r="I253" s="30">
        <v>81945</v>
      </c>
      <c r="J253" s="30">
        <f t="shared" si="17"/>
        <v>5</v>
      </c>
      <c r="K253" s="17">
        <v>18</v>
      </c>
      <c r="L253" s="30">
        <f t="shared" si="18"/>
        <v>90</v>
      </c>
      <c r="M253" s="17" t="s">
        <v>137</v>
      </c>
      <c r="N253" s="30" t="s">
        <v>54</v>
      </c>
      <c r="O253" s="30" t="s">
        <v>708</v>
      </c>
      <c r="P253" s="30"/>
    </row>
    <row r="254" spans="1:18" x14ac:dyDescent="0.25">
      <c r="B254" s="142" t="s">
        <v>931</v>
      </c>
      <c r="C254" s="161"/>
      <c r="D254" s="30" t="s">
        <v>450</v>
      </c>
      <c r="E254" s="30"/>
      <c r="F254" s="30" t="s">
        <v>58</v>
      </c>
      <c r="G254" s="30" t="s">
        <v>932</v>
      </c>
      <c r="H254" s="30">
        <v>81945</v>
      </c>
      <c r="I254" s="30">
        <v>81974</v>
      </c>
      <c r="J254" s="30">
        <f t="shared" si="17"/>
        <v>29</v>
      </c>
      <c r="K254" s="17">
        <v>18</v>
      </c>
      <c r="L254" s="30">
        <f t="shared" si="18"/>
        <v>522</v>
      </c>
      <c r="M254" s="17" t="s">
        <v>137</v>
      </c>
      <c r="N254" s="30" t="s">
        <v>56</v>
      </c>
      <c r="O254" s="30" t="s">
        <v>36</v>
      </c>
      <c r="P254" s="30"/>
      <c r="Q254" s="30"/>
    </row>
    <row r="255" spans="1:18" x14ac:dyDescent="0.25">
      <c r="A255" s="30"/>
      <c r="B255" s="142" t="s">
        <v>940</v>
      </c>
      <c r="C255" s="30"/>
      <c r="D255" s="30" t="s">
        <v>450</v>
      </c>
      <c r="E255" s="30"/>
      <c r="F255" s="30" t="s">
        <v>58</v>
      </c>
      <c r="G255" s="30" t="s">
        <v>936</v>
      </c>
      <c r="H255" s="30">
        <v>81974</v>
      </c>
      <c r="I255" s="30">
        <v>81995</v>
      </c>
      <c r="J255" s="30">
        <f t="shared" si="17"/>
        <v>21</v>
      </c>
      <c r="K255" s="17">
        <v>18</v>
      </c>
      <c r="L255" s="30">
        <f t="shared" si="18"/>
        <v>378</v>
      </c>
      <c r="M255" s="17" t="s">
        <v>137</v>
      </c>
      <c r="N255" s="91" t="s">
        <v>307</v>
      </c>
      <c r="O255" s="30" t="s">
        <v>813</v>
      </c>
      <c r="P255" s="30"/>
      <c r="Q255" s="30">
        <v>43.89</v>
      </c>
      <c r="R255">
        <v>3962.39</v>
      </c>
    </row>
    <row r="256" spans="1:18" x14ac:dyDescent="0.25">
      <c r="A256" s="30"/>
      <c r="B256" s="142" t="s">
        <v>940</v>
      </c>
      <c r="C256" s="30"/>
      <c r="D256" s="30" t="s">
        <v>450</v>
      </c>
      <c r="E256" s="30"/>
      <c r="F256" s="30" t="s">
        <v>938</v>
      </c>
      <c r="G256" s="30" t="s">
        <v>937</v>
      </c>
      <c r="H256" s="30">
        <v>81995</v>
      </c>
      <c r="I256" s="30">
        <v>82002</v>
      </c>
      <c r="J256" s="30">
        <f t="shared" si="17"/>
        <v>7</v>
      </c>
      <c r="K256" s="17">
        <v>18</v>
      </c>
      <c r="L256" s="30">
        <f t="shared" si="18"/>
        <v>126</v>
      </c>
      <c r="M256" s="17" t="s">
        <v>137</v>
      </c>
      <c r="N256" s="173" t="s">
        <v>80</v>
      </c>
      <c r="O256" s="30" t="s">
        <v>230</v>
      </c>
      <c r="P256" s="30"/>
    </row>
    <row r="257" spans="1:16" x14ac:dyDescent="0.25">
      <c r="A257" s="30"/>
      <c r="B257" s="142" t="s">
        <v>941</v>
      </c>
      <c r="C257" s="30"/>
      <c r="D257" s="30" t="s">
        <v>450</v>
      </c>
      <c r="E257" s="30"/>
      <c r="F257" s="30" t="s">
        <v>58</v>
      </c>
      <c r="G257" s="30" t="s">
        <v>939</v>
      </c>
      <c r="H257" s="30">
        <v>82002</v>
      </c>
      <c r="I257" s="30">
        <v>82019</v>
      </c>
      <c r="J257" s="30">
        <f t="shared" si="17"/>
        <v>17</v>
      </c>
      <c r="K257" s="17">
        <v>18</v>
      </c>
      <c r="L257" s="30">
        <f t="shared" si="18"/>
        <v>306</v>
      </c>
      <c r="M257" s="17" t="s">
        <v>137</v>
      </c>
      <c r="N257" s="30" t="s">
        <v>945</v>
      </c>
      <c r="O257" s="30" t="s">
        <v>943</v>
      </c>
      <c r="P257" s="30"/>
    </row>
    <row r="258" spans="1:16" x14ac:dyDescent="0.25">
      <c r="A258" s="30"/>
      <c r="B258" s="142" t="s">
        <v>942</v>
      </c>
      <c r="C258" s="30"/>
      <c r="D258" s="30" t="s">
        <v>450</v>
      </c>
      <c r="E258" s="30"/>
      <c r="F258" s="30" t="s">
        <v>58</v>
      </c>
      <c r="G258" s="30" t="s">
        <v>944</v>
      </c>
      <c r="H258" s="30">
        <v>82020</v>
      </c>
      <c r="I258" s="30">
        <v>82036</v>
      </c>
      <c r="J258" s="30">
        <f t="shared" si="17"/>
        <v>16</v>
      </c>
      <c r="K258" s="17">
        <v>18</v>
      </c>
      <c r="L258" s="30">
        <f t="shared" si="18"/>
        <v>288</v>
      </c>
      <c r="M258" s="17" t="s">
        <v>137</v>
      </c>
      <c r="N258" s="30" t="s">
        <v>20</v>
      </c>
      <c r="O258" s="30" t="s">
        <v>225</v>
      </c>
      <c r="P258" s="30"/>
    </row>
    <row r="259" spans="1:16" x14ac:dyDescent="0.25">
      <c r="A259" s="30"/>
      <c r="B259" s="142" t="s">
        <v>942</v>
      </c>
      <c r="C259" s="30"/>
      <c r="D259" s="30" t="s">
        <v>450</v>
      </c>
      <c r="E259" s="30"/>
      <c r="F259" s="30" t="s">
        <v>58</v>
      </c>
      <c r="G259" s="30" t="s">
        <v>955</v>
      </c>
      <c r="H259" s="30">
        <v>82036</v>
      </c>
      <c r="I259" s="30">
        <v>82039</v>
      </c>
      <c r="J259" s="30">
        <f t="shared" si="17"/>
        <v>3</v>
      </c>
      <c r="K259" s="17">
        <v>18</v>
      </c>
      <c r="L259" s="30">
        <f t="shared" si="18"/>
        <v>54</v>
      </c>
      <c r="M259" s="17" t="s">
        <v>137</v>
      </c>
      <c r="N259" s="30" t="s">
        <v>708</v>
      </c>
      <c r="O259" s="30" t="s">
        <v>946</v>
      </c>
      <c r="P259" s="30"/>
    </row>
    <row r="260" spans="1:16" x14ac:dyDescent="0.25">
      <c r="A260" s="30"/>
      <c r="B260" s="142" t="s">
        <v>949</v>
      </c>
      <c r="C260" s="30"/>
      <c r="D260" s="30" t="s">
        <v>450</v>
      </c>
      <c r="E260" s="30"/>
      <c r="F260" s="30" t="s">
        <v>58</v>
      </c>
      <c r="G260" s="30" t="s">
        <v>736</v>
      </c>
      <c r="H260" s="30">
        <v>82039</v>
      </c>
      <c r="I260" s="30">
        <v>82070</v>
      </c>
      <c r="J260" s="30">
        <f t="shared" si="17"/>
        <v>31</v>
      </c>
      <c r="K260" s="17">
        <v>18</v>
      </c>
      <c r="L260" s="30">
        <f t="shared" si="18"/>
        <v>558</v>
      </c>
      <c r="M260" s="17" t="s">
        <v>137</v>
      </c>
      <c r="N260" s="30" t="s">
        <v>304</v>
      </c>
      <c r="O260" s="30" t="s">
        <v>948</v>
      </c>
      <c r="P260" s="30"/>
    </row>
    <row r="261" spans="1:16" x14ac:dyDescent="0.25">
      <c r="A261" s="30"/>
      <c r="B261" s="142" t="s">
        <v>949</v>
      </c>
      <c r="C261" s="30"/>
      <c r="D261" s="30" t="s">
        <v>450</v>
      </c>
      <c r="E261" s="30"/>
      <c r="F261" s="30" t="s">
        <v>58</v>
      </c>
      <c r="G261" s="30" t="s">
        <v>950</v>
      </c>
      <c r="H261" s="30">
        <v>82070</v>
      </c>
      <c r="I261" s="30">
        <v>82087</v>
      </c>
      <c r="J261" s="30">
        <f t="shared" si="17"/>
        <v>17</v>
      </c>
      <c r="K261" s="17">
        <v>18</v>
      </c>
      <c r="L261" s="30">
        <f t="shared" si="18"/>
        <v>306</v>
      </c>
      <c r="M261" s="17" t="s">
        <v>137</v>
      </c>
      <c r="N261" s="30" t="s">
        <v>951</v>
      </c>
      <c r="O261" s="30" t="s">
        <v>952</v>
      </c>
      <c r="P261" s="30"/>
    </row>
    <row r="262" spans="1:16" x14ac:dyDescent="0.25">
      <c r="A262" s="30"/>
      <c r="B262" s="142" t="s">
        <v>953</v>
      </c>
      <c r="C262" s="30"/>
      <c r="D262" s="30" t="s">
        <v>450</v>
      </c>
      <c r="E262" s="30"/>
      <c r="F262" s="30" t="s">
        <v>450</v>
      </c>
      <c r="G262" s="30" t="s">
        <v>954</v>
      </c>
      <c r="H262" s="30">
        <v>82087</v>
      </c>
      <c r="I262" s="30">
        <v>82093</v>
      </c>
      <c r="J262" s="30">
        <f t="shared" si="17"/>
        <v>6</v>
      </c>
      <c r="K262" s="17">
        <v>18</v>
      </c>
      <c r="L262" s="30">
        <f t="shared" si="18"/>
        <v>108</v>
      </c>
      <c r="M262" s="17" t="s">
        <v>137</v>
      </c>
      <c r="N262" s="30" t="s">
        <v>34</v>
      </c>
      <c r="O262" s="30" t="s">
        <v>790</v>
      </c>
      <c r="P262" s="30"/>
    </row>
    <row r="263" spans="1:16" x14ac:dyDescent="0.25">
      <c r="A263" s="148"/>
      <c r="B263" s="142" t="s">
        <v>957</v>
      </c>
      <c r="C263" s="30"/>
      <c r="D263" s="30" t="s">
        <v>450</v>
      </c>
      <c r="E263" s="30"/>
      <c r="F263" s="30" t="s">
        <v>450</v>
      </c>
      <c r="G263" s="30" t="s">
        <v>969</v>
      </c>
      <c r="H263" s="30">
        <v>82094</v>
      </c>
      <c r="I263" s="30">
        <v>82099</v>
      </c>
      <c r="J263" s="30">
        <f t="shared" si="17"/>
        <v>5</v>
      </c>
      <c r="K263" s="17">
        <v>18</v>
      </c>
      <c r="L263" s="30">
        <f t="shared" si="18"/>
        <v>90</v>
      </c>
      <c r="M263" s="17" t="s">
        <v>137</v>
      </c>
      <c r="N263" s="30" t="s">
        <v>961</v>
      </c>
      <c r="O263" s="30" t="s">
        <v>550</v>
      </c>
      <c r="P263" s="30"/>
    </row>
    <row r="264" spans="1:16" x14ac:dyDescent="0.25">
      <c r="A264" s="148"/>
      <c r="B264" s="142" t="s">
        <v>958</v>
      </c>
      <c r="C264" s="30"/>
      <c r="D264" s="30" t="s">
        <v>450</v>
      </c>
      <c r="E264" s="30"/>
      <c r="F264" s="30" t="s">
        <v>58</v>
      </c>
      <c r="G264" s="30" t="s">
        <v>966</v>
      </c>
      <c r="H264" s="30">
        <v>82100</v>
      </c>
      <c r="I264" s="30">
        <v>82105</v>
      </c>
      <c r="J264" s="30">
        <f t="shared" si="17"/>
        <v>5</v>
      </c>
      <c r="K264" s="17">
        <v>18</v>
      </c>
      <c r="L264" s="30">
        <f t="shared" si="18"/>
        <v>90</v>
      </c>
      <c r="M264" s="30" t="s">
        <v>777</v>
      </c>
      <c r="N264" s="175" t="s">
        <v>967</v>
      </c>
      <c r="O264" s="30" t="s">
        <v>77</v>
      </c>
      <c r="P264" s="30"/>
    </row>
    <row r="265" spans="1:16" x14ac:dyDescent="0.25">
      <c r="B265" s="142" t="s">
        <v>959</v>
      </c>
      <c r="C265" s="30"/>
      <c r="D265" s="30" t="s">
        <v>971</v>
      </c>
      <c r="E265" s="30"/>
      <c r="F265" s="30" t="s">
        <v>58</v>
      </c>
      <c r="G265" s="30" t="s">
        <v>970</v>
      </c>
      <c r="H265" s="30">
        <v>82105</v>
      </c>
      <c r="I265" s="30">
        <v>82111</v>
      </c>
      <c r="J265" s="30">
        <f t="shared" si="17"/>
        <v>6</v>
      </c>
      <c r="K265" s="17">
        <v>18</v>
      </c>
      <c r="L265" s="30">
        <f t="shared" si="18"/>
        <v>108</v>
      </c>
      <c r="M265" s="17" t="s">
        <v>118</v>
      </c>
      <c r="N265" s="30" t="s">
        <v>962</v>
      </c>
      <c r="O265" s="30" t="s">
        <v>183</v>
      </c>
      <c r="P265" s="30"/>
    </row>
    <row r="266" spans="1:16" x14ac:dyDescent="0.25">
      <c r="B266" s="142" t="s">
        <v>963</v>
      </c>
      <c r="C266" s="30"/>
      <c r="D266" s="30" t="s">
        <v>960</v>
      </c>
      <c r="E266" s="30"/>
      <c r="F266" s="30" t="s">
        <v>58</v>
      </c>
      <c r="G266" s="30" t="s">
        <v>968</v>
      </c>
      <c r="H266" s="30">
        <v>82111</v>
      </c>
      <c r="I266" s="30">
        <v>82121</v>
      </c>
      <c r="J266" s="30">
        <f t="shared" si="17"/>
        <v>10</v>
      </c>
      <c r="K266" s="17">
        <v>18</v>
      </c>
      <c r="L266" s="30">
        <f t="shared" si="18"/>
        <v>180</v>
      </c>
      <c r="M266" s="30" t="s">
        <v>777</v>
      </c>
      <c r="N266" s="30" t="s">
        <v>964</v>
      </c>
      <c r="O266" s="30" t="s">
        <v>127</v>
      </c>
      <c r="P266" s="30"/>
    </row>
    <row r="267" spans="1:16" s="181" customFormat="1" x14ac:dyDescent="0.25">
      <c r="B267" s="182" t="s">
        <v>963</v>
      </c>
      <c r="C267" s="183"/>
      <c r="D267" s="183" t="s">
        <v>18</v>
      </c>
      <c r="E267" s="183"/>
      <c r="F267" s="183" t="s">
        <v>184</v>
      </c>
      <c r="G267" s="183" t="s">
        <v>1025</v>
      </c>
      <c r="H267" s="183">
        <v>82121</v>
      </c>
      <c r="I267" s="183">
        <v>82170</v>
      </c>
      <c r="J267" s="183">
        <f t="shared" si="17"/>
        <v>49</v>
      </c>
      <c r="K267" s="183">
        <v>18</v>
      </c>
      <c r="L267" s="183">
        <f t="shared" si="18"/>
        <v>882</v>
      </c>
      <c r="M267" s="183" t="s">
        <v>777</v>
      </c>
      <c r="N267" s="183" t="s">
        <v>214</v>
      </c>
      <c r="O267" s="183" t="s">
        <v>965</v>
      </c>
      <c r="P267" s="183"/>
    </row>
    <row r="268" spans="1:16" x14ac:dyDescent="0.25">
      <c r="B268" s="145" t="s">
        <v>972</v>
      </c>
      <c r="C268" s="121"/>
      <c r="D268" s="30" t="s">
        <v>1021</v>
      </c>
      <c r="E268" s="121"/>
      <c r="F268" s="121" t="s">
        <v>58</v>
      </c>
      <c r="G268" s="121" t="s">
        <v>973</v>
      </c>
      <c r="H268" s="121">
        <v>82170</v>
      </c>
      <c r="I268" s="121">
        <v>82181</v>
      </c>
      <c r="J268" s="121">
        <f t="shared" si="17"/>
        <v>11</v>
      </c>
      <c r="K268" s="122">
        <v>18</v>
      </c>
      <c r="L268" s="121">
        <f t="shared" si="18"/>
        <v>198</v>
      </c>
      <c r="M268" s="121" t="s">
        <v>777</v>
      </c>
      <c r="N268" s="121" t="s">
        <v>54</v>
      </c>
      <c r="O268" s="121" t="s">
        <v>320</v>
      </c>
      <c r="P268" s="121"/>
    </row>
    <row r="269" spans="1:16" x14ac:dyDescent="0.25">
      <c r="A269" s="93"/>
      <c r="B269" s="142" t="s">
        <v>972</v>
      </c>
      <c r="C269" s="30"/>
      <c r="D269" s="30" t="s">
        <v>1021</v>
      </c>
      <c r="E269" s="30"/>
      <c r="F269" s="30" t="s">
        <v>974</v>
      </c>
      <c r="G269" s="30" t="s">
        <v>975</v>
      </c>
      <c r="H269" s="30">
        <v>82181</v>
      </c>
      <c r="I269" s="30">
        <v>82201</v>
      </c>
      <c r="J269" s="30">
        <f t="shared" si="17"/>
        <v>20</v>
      </c>
      <c r="K269" s="17">
        <v>18</v>
      </c>
      <c r="L269" s="30">
        <f t="shared" si="18"/>
        <v>360</v>
      </c>
      <c r="M269" s="30" t="s">
        <v>777</v>
      </c>
      <c r="N269" s="30" t="s">
        <v>460</v>
      </c>
      <c r="O269" s="30" t="s">
        <v>976</v>
      </c>
      <c r="P269" s="30"/>
    </row>
    <row r="270" spans="1:16" x14ac:dyDescent="0.25">
      <c r="A270" s="30"/>
      <c r="B270" s="142" t="s">
        <v>978</v>
      </c>
      <c r="C270" s="30"/>
      <c r="D270" s="30" t="s">
        <v>1021</v>
      </c>
      <c r="E270" s="30"/>
      <c r="F270" s="30" t="s">
        <v>58</v>
      </c>
      <c r="G270" s="30" t="s">
        <v>979</v>
      </c>
      <c r="H270" s="30">
        <v>82201</v>
      </c>
      <c r="I270" s="30">
        <v>82211</v>
      </c>
      <c r="J270" s="30">
        <f t="shared" si="17"/>
        <v>10</v>
      </c>
      <c r="K270" s="17">
        <v>18</v>
      </c>
      <c r="L270" s="30">
        <f t="shared" si="18"/>
        <v>180</v>
      </c>
      <c r="M270" s="30" t="s">
        <v>777</v>
      </c>
      <c r="N270" s="91" t="s">
        <v>60</v>
      </c>
      <c r="O270" s="30" t="s">
        <v>331</v>
      </c>
      <c r="P270" s="30"/>
    </row>
    <row r="271" spans="1:16" x14ac:dyDescent="0.25">
      <c r="A271" s="30"/>
      <c r="B271" s="142" t="s">
        <v>980</v>
      </c>
      <c r="C271" s="30"/>
      <c r="D271" s="30" t="s">
        <v>1021</v>
      </c>
      <c r="E271" s="30"/>
      <c r="F271" s="30" t="s">
        <v>58</v>
      </c>
      <c r="G271" s="30" t="s">
        <v>736</v>
      </c>
      <c r="H271" s="30">
        <v>82211</v>
      </c>
      <c r="I271" s="30">
        <v>82222</v>
      </c>
      <c r="J271" s="30">
        <f t="shared" si="17"/>
        <v>11</v>
      </c>
      <c r="K271" s="17">
        <v>18</v>
      </c>
      <c r="L271" s="30">
        <f t="shared" si="18"/>
        <v>198</v>
      </c>
      <c r="M271" s="30" t="s">
        <v>777</v>
      </c>
      <c r="N271" s="30" t="s">
        <v>459</v>
      </c>
      <c r="O271" s="30" t="s">
        <v>21</v>
      </c>
      <c r="P271" s="30"/>
    </row>
    <row r="272" spans="1:16" x14ac:dyDescent="0.25">
      <c r="A272" s="30"/>
      <c r="B272" s="142" t="s">
        <v>980</v>
      </c>
      <c r="C272" s="30"/>
      <c r="D272" s="30" t="s">
        <v>1021</v>
      </c>
      <c r="E272" s="30"/>
      <c r="F272" s="30" t="s">
        <v>58</v>
      </c>
      <c r="G272" s="30" t="s">
        <v>981</v>
      </c>
      <c r="H272" s="30">
        <v>82222</v>
      </c>
      <c r="I272" s="30">
        <v>82230</v>
      </c>
      <c r="J272" s="30">
        <f t="shared" si="17"/>
        <v>8</v>
      </c>
      <c r="K272" s="17">
        <v>18</v>
      </c>
      <c r="L272" s="30">
        <f t="shared" si="18"/>
        <v>144</v>
      </c>
      <c r="M272" s="30" t="s">
        <v>777</v>
      </c>
      <c r="N272" s="30" t="s">
        <v>47</v>
      </c>
      <c r="O272" s="30" t="s">
        <v>982</v>
      </c>
      <c r="P272" s="30"/>
    </row>
    <row r="273" spans="1:18" x14ac:dyDescent="0.25">
      <c r="A273" s="30"/>
      <c r="B273" s="142" t="s">
        <v>983</v>
      </c>
      <c r="C273" s="30"/>
      <c r="D273" s="30" t="s">
        <v>1021</v>
      </c>
      <c r="E273" s="30"/>
      <c r="F273" s="30" t="s">
        <v>58</v>
      </c>
      <c r="G273" s="30" t="s">
        <v>998</v>
      </c>
      <c r="H273" s="30">
        <v>82230</v>
      </c>
      <c r="I273" s="30">
        <v>82240</v>
      </c>
      <c r="J273" s="30">
        <f t="shared" si="17"/>
        <v>10</v>
      </c>
      <c r="K273" s="17">
        <v>18</v>
      </c>
      <c r="L273" s="30">
        <f t="shared" si="18"/>
        <v>180</v>
      </c>
      <c r="N273" s="30" t="s">
        <v>984</v>
      </c>
      <c r="O273" s="30" t="s">
        <v>346</v>
      </c>
      <c r="P273" s="30"/>
    </row>
    <row r="274" spans="1:18" x14ac:dyDescent="0.25">
      <c r="A274" s="93"/>
      <c r="B274" s="142" t="s">
        <v>987</v>
      </c>
      <c r="C274" s="30"/>
      <c r="D274" s="30" t="s">
        <v>579</v>
      </c>
      <c r="E274" s="30"/>
      <c r="F274" s="30" t="s">
        <v>175</v>
      </c>
      <c r="G274" s="30" t="s">
        <v>904</v>
      </c>
      <c r="H274" s="30">
        <v>82240</v>
      </c>
      <c r="I274" s="30">
        <v>82246</v>
      </c>
      <c r="J274" s="30">
        <f t="shared" si="17"/>
        <v>6</v>
      </c>
      <c r="K274" s="17">
        <v>18</v>
      </c>
      <c r="L274" s="30">
        <f t="shared" si="18"/>
        <v>108</v>
      </c>
      <c r="M274" s="30" t="s">
        <v>118</v>
      </c>
      <c r="N274" s="30" t="s">
        <v>24</v>
      </c>
      <c r="O274" s="30" t="s">
        <v>789</v>
      </c>
      <c r="P274" s="30"/>
    </row>
    <row r="275" spans="1:18" x14ac:dyDescent="0.25">
      <c r="A275" s="93"/>
      <c r="B275" s="142" t="s">
        <v>987</v>
      </c>
      <c r="C275" s="30"/>
      <c r="D275" s="30" t="s">
        <v>403</v>
      </c>
      <c r="E275" s="30"/>
      <c r="F275" s="30" t="s">
        <v>404</v>
      </c>
      <c r="G275" s="30" t="s">
        <v>736</v>
      </c>
      <c r="H275" s="30">
        <v>82246</v>
      </c>
      <c r="I275" s="30">
        <v>82256</v>
      </c>
      <c r="J275" s="30">
        <f t="shared" si="17"/>
        <v>10</v>
      </c>
      <c r="K275" s="17">
        <v>18</v>
      </c>
      <c r="L275" s="30">
        <f t="shared" si="18"/>
        <v>180</v>
      </c>
      <c r="M275" s="30" t="s">
        <v>381</v>
      </c>
      <c r="N275" s="30" t="s">
        <v>357</v>
      </c>
      <c r="O275" s="30" t="s">
        <v>509</v>
      </c>
      <c r="P275" s="30"/>
    </row>
    <row r="276" spans="1:18" x14ac:dyDescent="0.25">
      <c r="A276" s="30"/>
      <c r="B276" s="142" t="s">
        <v>987</v>
      </c>
      <c r="C276" s="30"/>
      <c r="D276" s="30" t="s">
        <v>988</v>
      </c>
      <c r="E276" s="30"/>
      <c r="F276" s="30" t="s">
        <v>989</v>
      </c>
      <c r="G276" s="30" t="s">
        <v>30</v>
      </c>
      <c r="H276" s="30">
        <v>82257</v>
      </c>
      <c r="I276" s="30">
        <v>82262</v>
      </c>
      <c r="J276" s="30">
        <f t="shared" si="17"/>
        <v>5</v>
      </c>
      <c r="K276" s="17">
        <v>18</v>
      </c>
      <c r="L276" s="30">
        <f t="shared" si="18"/>
        <v>90</v>
      </c>
      <c r="M276" s="30" t="s">
        <v>990</v>
      </c>
      <c r="N276" s="30" t="s">
        <v>991</v>
      </c>
      <c r="O276" s="30" t="s">
        <v>512</v>
      </c>
      <c r="P276" s="30"/>
    </row>
    <row r="277" spans="1:18" x14ac:dyDescent="0.25">
      <c r="A277" s="30"/>
      <c r="B277" s="142" t="s">
        <v>992</v>
      </c>
      <c r="C277" s="30"/>
      <c r="D277" s="30" t="s">
        <v>46</v>
      </c>
      <c r="E277" s="30"/>
      <c r="F277" s="30" t="s">
        <v>46</v>
      </c>
      <c r="G277" s="30" t="s">
        <v>22</v>
      </c>
      <c r="H277" s="30">
        <v>82262</v>
      </c>
      <c r="I277" s="30">
        <v>82265</v>
      </c>
      <c r="J277" s="30">
        <f t="shared" si="17"/>
        <v>3</v>
      </c>
      <c r="K277" s="17">
        <v>18</v>
      </c>
      <c r="L277" s="30">
        <f t="shared" si="18"/>
        <v>54</v>
      </c>
      <c r="M277" s="30" t="s">
        <v>46</v>
      </c>
      <c r="N277" s="30" t="s">
        <v>964</v>
      </c>
      <c r="O277" s="30" t="s">
        <v>795</v>
      </c>
      <c r="P277" s="30"/>
    </row>
    <row r="278" spans="1:18" x14ac:dyDescent="0.25">
      <c r="A278" s="93"/>
      <c r="B278" s="142" t="s">
        <v>992</v>
      </c>
      <c r="C278" s="30"/>
      <c r="D278" s="30" t="s">
        <v>988</v>
      </c>
      <c r="E278" s="30"/>
      <c r="F278" s="30" t="s">
        <v>989</v>
      </c>
      <c r="G278" s="30" t="s">
        <v>25</v>
      </c>
      <c r="H278" s="30">
        <v>82266</v>
      </c>
      <c r="I278" s="30">
        <v>82273</v>
      </c>
      <c r="J278" s="30">
        <f t="shared" si="17"/>
        <v>7</v>
      </c>
      <c r="K278" s="17">
        <v>18</v>
      </c>
      <c r="L278" s="30">
        <f t="shared" si="18"/>
        <v>126</v>
      </c>
      <c r="M278" s="30" t="s">
        <v>535</v>
      </c>
      <c r="N278" s="30" t="s">
        <v>42</v>
      </c>
      <c r="O278" s="30" t="s">
        <v>37</v>
      </c>
      <c r="P278" s="30"/>
    </row>
    <row r="279" spans="1:18" x14ac:dyDescent="0.25">
      <c r="A279" s="30"/>
      <c r="B279" s="142" t="s">
        <v>992</v>
      </c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</row>
    <row r="280" spans="1:18" ht="31.5" x14ac:dyDescent="0.25">
      <c r="A280" s="41" t="s">
        <v>148</v>
      </c>
      <c r="B280" s="141" t="s">
        <v>0</v>
      </c>
      <c r="C280" s="42" t="s">
        <v>206</v>
      </c>
      <c r="D280" s="43" t="s">
        <v>1</v>
      </c>
      <c r="E280" s="43" t="s">
        <v>2</v>
      </c>
      <c r="F280" s="43" t="s">
        <v>202</v>
      </c>
      <c r="G280" s="43" t="s">
        <v>4</v>
      </c>
      <c r="H280" s="59" t="s">
        <v>5</v>
      </c>
      <c r="I280" s="60" t="s">
        <v>6</v>
      </c>
      <c r="J280" s="60" t="s">
        <v>7</v>
      </c>
      <c r="K280" s="61" t="s">
        <v>203</v>
      </c>
      <c r="L280" s="62" t="s">
        <v>204</v>
      </c>
      <c r="M280" s="53" t="s">
        <v>10</v>
      </c>
      <c r="N280" s="54" t="s">
        <v>8</v>
      </c>
      <c r="O280" s="55" t="s">
        <v>9</v>
      </c>
      <c r="P280" s="56" t="s">
        <v>11</v>
      </c>
    </row>
    <row r="281" spans="1:18" x14ac:dyDescent="0.25">
      <c r="A281" s="30"/>
      <c r="B281" s="142" t="s">
        <v>993</v>
      </c>
      <c r="C281" s="30"/>
      <c r="D281" s="30" t="s">
        <v>996</v>
      </c>
      <c r="E281" s="30"/>
      <c r="F281" s="30" t="s">
        <v>58</v>
      </c>
      <c r="G281" s="30" t="s">
        <v>997</v>
      </c>
      <c r="H281" s="30">
        <v>82279</v>
      </c>
      <c r="I281" s="30">
        <v>82315</v>
      </c>
      <c r="J281" s="30">
        <f>I281-H281</f>
        <v>36</v>
      </c>
      <c r="K281" s="17">
        <v>18</v>
      </c>
      <c r="L281" s="30">
        <f>K281*J281</f>
        <v>648</v>
      </c>
      <c r="M281" s="30" t="s">
        <v>777</v>
      </c>
      <c r="N281" s="30" t="s">
        <v>320</v>
      </c>
      <c r="O281" s="30" t="s">
        <v>985</v>
      </c>
      <c r="P281" s="30"/>
    </row>
    <row r="282" spans="1:18" x14ac:dyDescent="0.25">
      <c r="A282" s="30"/>
      <c r="B282" s="142" t="s">
        <v>999</v>
      </c>
      <c r="C282" s="30"/>
      <c r="D282" s="30" t="s">
        <v>429</v>
      </c>
      <c r="E282" s="30"/>
      <c r="F282" s="30" t="s">
        <v>58</v>
      </c>
      <c r="G282" s="30" t="s">
        <v>1000</v>
      </c>
      <c r="H282" s="30">
        <v>82316</v>
      </c>
      <c r="I282" s="30">
        <v>82323</v>
      </c>
      <c r="J282" s="30">
        <f>I282-H282</f>
        <v>7</v>
      </c>
      <c r="K282" s="17">
        <v>18</v>
      </c>
      <c r="L282" s="30">
        <f>K282*J282</f>
        <v>126</v>
      </c>
      <c r="M282" s="30" t="s">
        <v>777</v>
      </c>
      <c r="N282" s="30" t="s">
        <v>423</v>
      </c>
      <c r="O282" s="30" t="s">
        <v>42</v>
      </c>
      <c r="P282" s="30"/>
      <c r="Q282">
        <v>34.08</v>
      </c>
      <c r="R282">
        <v>3076</v>
      </c>
    </row>
    <row r="283" spans="1:18" x14ac:dyDescent="0.25">
      <c r="A283" s="30"/>
      <c r="B283" s="142" t="s">
        <v>1010</v>
      </c>
      <c r="C283" s="30"/>
      <c r="D283" s="30" t="s">
        <v>493</v>
      </c>
      <c r="E283" s="30"/>
      <c r="F283" s="30" t="s">
        <v>58</v>
      </c>
      <c r="G283" s="30" t="s">
        <v>1009</v>
      </c>
      <c r="H283" s="30">
        <v>82323</v>
      </c>
      <c r="I283" s="30">
        <v>82330</v>
      </c>
      <c r="J283" s="30">
        <f t="shared" ref="J283:J295" si="19">I283-H283</f>
        <v>7</v>
      </c>
      <c r="K283" s="17">
        <v>18</v>
      </c>
      <c r="L283" s="30">
        <f t="shared" ref="L283:L295" si="20">K283*J283</f>
        <v>126</v>
      </c>
      <c r="M283" s="17" t="s">
        <v>137</v>
      </c>
      <c r="N283" s="30" t="s">
        <v>24</v>
      </c>
      <c r="O283" s="30" t="s">
        <v>1005</v>
      </c>
      <c r="P283" s="30"/>
    </row>
    <row r="284" spans="1:18" x14ac:dyDescent="0.25">
      <c r="A284" s="30"/>
      <c r="B284" s="142" t="s">
        <v>1010</v>
      </c>
      <c r="C284" s="30"/>
      <c r="D284" s="30" t="s">
        <v>988</v>
      </c>
      <c r="E284" s="30"/>
      <c r="F284" s="30" t="s">
        <v>989</v>
      </c>
      <c r="G284" s="30" t="s">
        <v>1011</v>
      </c>
      <c r="H284" s="30">
        <v>82330</v>
      </c>
      <c r="I284" s="30">
        <v>82339</v>
      </c>
      <c r="J284" s="30">
        <f t="shared" si="19"/>
        <v>9</v>
      </c>
      <c r="K284" s="17">
        <v>18</v>
      </c>
      <c r="L284" s="30">
        <f t="shared" si="20"/>
        <v>162</v>
      </c>
      <c r="M284" s="17" t="s">
        <v>137</v>
      </c>
      <c r="N284" s="30" t="s">
        <v>1006</v>
      </c>
      <c r="O284" s="30" t="s">
        <v>1007</v>
      </c>
      <c r="P284" s="30"/>
    </row>
    <row r="285" spans="1:18" x14ac:dyDescent="0.25">
      <c r="A285" s="93"/>
      <c r="B285" s="142" t="s">
        <v>1012</v>
      </c>
      <c r="C285" s="30"/>
      <c r="D285" s="30" t="s">
        <v>507</v>
      </c>
      <c r="E285" s="30"/>
      <c r="F285" s="30" t="s">
        <v>332</v>
      </c>
      <c r="G285" s="30" t="s">
        <v>380</v>
      </c>
      <c r="H285" s="30">
        <v>82339</v>
      </c>
      <c r="I285" s="30">
        <v>82345</v>
      </c>
      <c r="J285" s="30">
        <f t="shared" si="19"/>
        <v>6</v>
      </c>
      <c r="K285" s="17">
        <v>18</v>
      </c>
      <c r="L285" s="30">
        <f t="shared" si="20"/>
        <v>108</v>
      </c>
      <c r="M285" s="17" t="s">
        <v>137</v>
      </c>
      <c r="N285" s="30" t="s">
        <v>1008</v>
      </c>
      <c r="O285" s="30" t="s">
        <v>673</v>
      </c>
      <c r="P285" s="30"/>
    </row>
    <row r="286" spans="1:18" x14ac:dyDescent="0.25">
      <c r="A286" s="30"/>
      <c r="B286" s="142" t="s">
        <v>1018</v>
      </c>
      <c r="C286" s="30"/>
      <c r="D286" s="30" t="s">
        <v>429</v>
      </c>
      <c r="E286" s="30"/>
      <c r="F286" s="30" t="s">
        <v>58</v>
      </c>
      <c r="G286" s="30" t="s">
        <v>22</v>
      </c>
      <c r="H286" s="30">
        <v>82345</v>
      </c>
      <c r="I286" s="30">
        <v>82349</v>
      </c>
      <c r="J286" s="30">
        <f t="shared" si="19"/>
        <v>4</v>
      </c>
      <c r="K286" s="17">
        <v>18</v>
      </c>
      <c r="L286" s="30">
        <f t="shared" si="20"/>
        <v>72</v>
      </c>
      <c r="M286" s="30" t="s">
        <v>1019</v>
      </c>
      <c r="N286" s="30" t="s">
        <v>42</v>
      </c>
      <c r="O286" s="30" t="s">
        <v>461</v>
      </c>
      <c r="P286" s="30"/>
    </row>
    <row r="287" spans="1:18" x14ac:dyDescent="0.25">
      <c r="A287" s="30"/>
      <c r="B287" s="142" t="s">
        <v>1015</v>
      </c>
      <c r="C287" s="30"/>
      <c r="D287" s="30" t="s">
        <v>429</v>
      </c>
      <c r="E287" s="30"/>
      <c r="F287" s="30" t="s">
        <v>58</v>
      </c>
      <c r="G287" s="30" t="s">
        <v>25</v>
      </c>
      <c r="H287" s="30">
        <v>82349</v>
      </c>
      <c r="I287" s="30">
        <v>82354</v>
      </c>
      <c r="J287" s="30">
        <f t="shared" si="19"/>
        <v>5</v>
      </c>
      <c r="K287" s="17">
        <v>18</v>
      </c>
      <c r="L287" s="30">
        <f t="shared" si="20"/>
        <v>90</v>
      </c>
      <c r="M287" s="17" t="s">
        <v>704</v>
      </c>
      <c r="N287" s="30" t="s">
        <v>811</v>
      </c>
      <c r="O287" s="30" t="s">
        <v>374</v>
      </c>
      <c r="P287" s="30"/>
    </row>
    <row r="288" spans="1:18" x14ac:dyDescent="0.25">
      <c r="A288" s="30"/>
      <c r="B288" s="142" t="s">
        <v>1020</v>
      </c>
      <c r="C288" s="30"/>
      <c r="D288" s="30" t="s">
        <v>1021</v>
      </c>
      <c r="E288" s="30"/>
      <c r="F288" s="30" t="s">
        <v>58</v>
      </c>
      <c r="G288" s="30" t="s">
        <v>1024</v>
      </c>
      <c r="H288" s="30">
        <v>82354</v>
      </c>
      <c r="I288" s="30">
        <v>82365</v>
      </c>
      <c r="J288" s="30">
        <f t="shared" si="19"/>
        <v>11</v>
      </c>
      <c r="K288" s="17">
        <v>18</v>
      </c>
      <c r="L288" s="30">
        <f t="shared" si="20"/>
        <v>198</v>
      </c>
      <c r="M288" s="30" t="s">
        <v>1019</v>
      </c>
      <c r="N288" s="30" t="s">
        <v>1022</v>
      </c>
      <c r="O288" s="30" t="s">
        <v>789</v>
      </c>
      <c r="P288" s="30"/>
    </row>
    <row r="289" spans="1:16" x14ac:dyDescent="0.25">
      <c r="A289" s="30"/>
      <c r="B289" s="142" t="s">
        <v>1020</v>
      </c>
      <c r="C289" s="30"/>
      <c r="D289" s="30" t="s">
        <v>1021</v>
      </c>
      <c r="E289" s="30"/>
      <c r="F289" s="30" t="s">
        <v>58</v>
      </c>
      <c r="G289" s="30" t="s">
        <v>1023</v>
      </c>
      <c r="H289" s="30">
        <v>82365</v>
      </c>
      <c r="I289" s="30">
        <v>82381</v>
      </c>
      <c r="J289" s="30">
        <f t="shared" si="19"/>
        <v>16</v>
      </c>
      <c r="K289" s="17">
        <v>18</v>
      </c>
      <c r="L289" s="30">
        <f t="shared" si="20"/>
        <v>288</v>
      </c>
      <c r="M289" s="30" t="s">
        <v>1019</v>
      </c>
      <c r="N289" s="30" t="s">
        <v>34</v>
      </c>
      <c r="O289" s="30" t="s">
        <v>461</v>
      </c>
      <c r="P289" s="30"/>
    </row>
    <row r="290" spans="1:16" x14ac:dyDescent="0.25">
      <c r="A290" s="30"/>
      <c r="B290" s="142" t="s">
        <v>1026</v>
      </c>
      <c r="C290" s="30"/>
      <c r="D290" s="30" t="s">
        <v>1021</v>
      </c>
      <c r="E290" s="30"/>
      <c r="F290" s="30" t="s">
        <v>58</v>
      </c>
      <c r="G290" s="30" t="s">
        <v>1027</v>
      </c>
      <c r="H290" s="30">
        <v>82381</v>
      </c>
      <c r="I290" s="30">
        <v>82389</v>
      </c>
      <c r="J290" s="30">
        <f t="shared" si="19"/>
        <v>8</v>
      </c>
      <c r="K290" s="17">
        <v>18</v>
      </c>
      <c r="L290" s="30">
        <f t="shared" si="20"/>
        <v>144</v>
      </c>
      <c r="M290" s="30" t="s">
        <v>1019</v>
      </c>
      <c r="N290" s="30" t="s">
        <v>20</v>
      </c>
      <c r="O290" s="30" t="s">
        <v>225</v>
      </c>
      <c r="P290" s="30"/>
    </row>
    <row r="291" spans="1:16" x14ac:dyDescent="0.25">
      <c r="A291" s="93"/>
      <c r="B291" s="142" t="s">
        <v>1028</v>
      </c>
      <c r="C291" s="30"/>
      <c r="D291" s="30" t="s">
        <v>553</v>
      </c>
      <c r="E291" s="30"/>
      <c r="F291" s="30" t="s">
        <v>175</v>
      </c>
      <c r="G291" s="30" t="s">
        <v>380</v>
      </c>
      <c r="H291" s="30">
        <v>82390</v>
      </c>
      <c r="I291" s="30">
        <v>82396</v>
      </c>
      <c r="J291" s="30">
        <f t="shared" si="19"/>
        <v>6</v>
      </c>
      <c r="K291" s="17">
        <v>18</v>
      </c>
      <c r="L291" s="30">
        <f t="shared" si="20"/>
        <v>108</v>
      </c>
      <c r="M291" s="30" t="s">
        <v>1019</v>
      </c>
      <c r="N291" s="30" t="s">
        <v>213</v>
      </c>
      <c r="O291" s="30" t="s">
        <v>479</v>
      </c>
      <c r="P291" s="30"/>
    </row>
    <row r="292" spans="1:16" x14ac:dyDescent="0.25">
      <c r="A292" s="93"/>
      <c r="B292" s="142" t="s">
        <v>1029</v>
      </c>
      <c r="C292" s="30"/>
      <c r="D292" s="30" t="s">
        <v>403</v>
      </c>
      <c r="E292" s="30"/>
      <c r="F292" s="30" t="s">
        <v>1030</v>
      </c>
      <c r="G292" s="30" t="s">
        <v>736</v>
      </c>
      <c r="H292" s="30">
        <v>82396</v>
      </c>
      <c r="I292" s="30">
        <v>82407</v>
      </c>
      <c r="J292" s="30">
        <f t="shared" si="19"/>
        <v>11</v>
      </c>
      <c r="K292" s="17">
        <v>18</v>
      </c>
      <c r="L292" s="30">
        <f t="shared" si="20"/>
        <v>198</v>
      </c>
      <c r="M292" s="30" t="s">
        <v>39</v>
      </c>
      <c r="N292" s="30" t="s">
        <v>339</v>
      </c>
      <c r="O292" s="30" t="s">
        <v>1031</v>
      </c>
      <c r="P292" s="30"/>
    </row>
    <row r="293" spans="1:16" x14ac:dyDescent="0.25">
      <c r="A293" s="30"/>
      <c r="B293" s="142" t="s">
        <v>1034</v>
      </c>
      <c r="C293" s="30"/>
      <c r="D293" s="30" t="s">
        <v>1021</v>
      </c>
      <c r="E293" s="30"/>
      <c r="F293" s="30" t="s">
        <v>58</v>
      </c>
      <c r="G293" s="30" t="s">
        <v>1033</v>
      </c>
      <c r="H293" s="30">
        <v>82407</v>
      </c>
      <c r="I293" s="30">
        <v>82414</v>
      </c>
      <c r="J293" s="30">
        <f t="shared" si="19"/>
        <v>7</v>
      </c>
      <c r="K293" s="17">
        <v>18</v>
      </c>
      <c r="L293" s="30">
        <f t="shared" si="20"/>
        <v>126</v>
      </c>
      <c r="M293" s="30" t="s">
        <v>1019</v>
      </c>
      <c r="N293" s="30" t="s">
        <v>241</v>
      </c>
      <c r="O293" s="30" t="s">
        <v>24</v>
      </c>
      <c r="P293" s="30"/>
    </row>
    <row r="294" spans="1:16" x14ac:dyDescent="0.25">
      <c r="A294" s="30"/>
      <c r="B294" s="142" t="s">
        <v>1035</v>
      </c>
      <c r="C294" s="30"/>
      <c r="D294" s="30" t="s">
        <v>1036</v>
      </c>
      <c r="E294" s="30"/>
      <c r="F294" s="30" t="s">
        <v>551</v>
      </c>
      <c r="G294" s="30" t="s">
        <v>1037</v>
      </c>
      <c r="H294" s="30">
        <v>82414</v>
      </c>
      <c r="I294" s="30">
        <v>82467</v>
      </c>
      <c r="J294" s="30">
        <f t="shared" si="19"/>
        <v>53</v>
      </c>
      <c r="K294" s="17">
        <v>18</v>
      </c>
      <c r="L294" s="30">
        <f t="shared" si="20"/>
        <v>954</v>
      </c>
      <c r="M294" s="30" t="s">
        <v>1019</v>
      </c>
      <c r="N294" s="30" t="s">
        <v>1038</v>
      </c>
      <c r="O294" s="30" t="s">
        <v>1039</v>
      </c>
      <c r="P294" s="30"/>
    </row>
    <row r="295" spans="1:16" x14ac:dyDescent="0.25">
      <c r="A295" s="30"/>
      <c r="B295" s="142" t="s">
        <v>1040</v>
      </c>
      <c r="C295" s="30"/>
      <c r="D295" s="30" t="s">
        <v>1045</v>
      </c>
      <c r="E295" s="30"/>
      <c r="F295" s="30" t="s">
        <v>551</v>
      </c>
      <c r="G295" s="30" t="s">
        <v>1041</v>
      </c>
      <c r="H295" s="30">
        <v>82467</v>
      </c>
      <c r="I295" s="30">
        <v>82565</v>
      </c>
      <c r="J295" s="30">
        <f t="shared" si="19"/>
        <v>98</v>
      </c>
      <c r="K295" s="17">
        <v>18</v>
      </c>
      <c r="L295" s="30">
        <f t="shared" si="20"/>
        <v>1764</v>
      </c>
      <c r="M295" s="30" t="s">
        <v>1046</v>
      </c>
      <c r="N295" s="30" t="s">
        <v>1042</v>
      </c>
      <c r="O295" s="30" t="s">
        <v>708</v>
      </c>
      <c r="P295" s="30"/>
    </row>
    <row r="296" spans="1:16" x14ac:dyDescent="0.25">
      <c r="A296" s="30"/>
      <c r="B296" s="161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9"/>
  <sheetViews>
    <sheetView topLeftCell="A39" workbookViewId="0">
      <selection activeCell="C47" sqref="C47"/>
    </sheetView>
  </sheetViews>
  <sheetFormatPr defaultRowHeight="15" x14ac:dyDescent="0.25"/>
  <cols>
    <col min="1" max="1" width="5.85546875" customWidth="1"/>
    <col min="2" max="2" width="18.85546875" bestFit="1" customWidth="1"/>
    <col min="3" max="3" width="10.140625" customWidth="1"/>
    <col min="4" max="4" width="20.85546875" bestFit="1" customWidth="1"/>
    <col min="5" max="5" width="17.140625" customWidth="1"/>
    <col min="6" max="6" width="19.28515625" customWidth="1"/>
    <col min="7" max="7" width="68.42578125" customWidth="1"/>
    <col min="8" max="8" width="10.5703125" bestFit="1" customWidth="1"/>
    <col min="11" max="11" width="11.5703125" customWidth="1"/>
    <col min="13" max="13" width="20.85546875" bestFit="1" customWidth="1"/>
    <col min="15" max="15" width="10.42578125" bestFit="1" customWidth="1"/>
    <col min="17" max="18" width="11.85546875" bestFit="1" customWidth="1"/>
    <col min="21" max="21" width="17.28515625" customWidth="1"/>
    <col min="22" max="22" width="37.42578125" customWidth="1"/>
  </cols>
  <sheetData>
    <row r="1" spans="1:22" ht="47.25" x14ac:dyDescent="0.25">
      <c r="A1" s="41" t="s">
        <v>148</v>
      </c>
      <c r="B1" s="42" t="s">
        <v>0</v>
      </c>
      <c r="C1" s="42" t="s">
        <v>206</v>
      </c>
      <c r="D1" s="43" t="s">
        <v>1</v>
      </c>
      <c r="E1" s="43" t="s">
        <v>2</v>
      </c>
      <c r="F1" s="43" t="s">
        <v>202</v>
      </c>
      <c r="G1" s="43" t="s">
        <v>4</v>
      </c>
      <c r="H1" s="59" t="s">
        <v>5</v>
      </c>
      <c r="I1" s="60" t="s">
        <v>6</v>
      </c>
      <c r="J1" s="60" t="s">
        <v>7</v>
      </c>
      <c r="K1" s="61" t="s">
        <v>203</v>
      </c>
      <c r="L1" s="62" t="s">
        <v>204</v>
      </c>
      <c r="M1" s="53" t="s">
        <v>10</v>
      </c>
      <c r="N1" s="54" t="s">
        <v>8</v>
      </c>
      <c r="O1" s="55" t="s">
        <v>9</v>
      </c>
      <c r="P1" s="56" t="s">
        <v>11</v>
      </c>
      <c r="Q1" s="56" t="s">
        <v>205</v>
      </c>
      <c r="R1" s="57" t="s">
        <v>147</v>
      </c>
      <c r="S1" s="58" t="s">
        <v>12</v>
      </c>
      <c r="T1" s="48" t="s">
        <v>14</v>
      </c>
      <c r="U1" s="46" t="s">
        <v>149</v>
      </c>
      <c r="V1" s="46" t="s">
        <v>15</v>
      </c>
    </row>
    <row r="2" spans="1:22" ht="15.75" x14ac:dyDescent="0.25">
      <c r="A2" s="84">
        <v>1</v>
      </c>
      <c r="B2" s="80">
        <v>45753</v>
      </c>
      <c r="C2" s="81" t="s">
        <v>209</v>
      </c>
      <c r="D2" s="83" t="s">
        <v>299</v>
      </c>
      <c r="E2" s="100"/>
      <c r="F2" s="82" t="s">
        <v>58</v>
      </c>
      <c r="G2" s="83" t="s">
        <v>232</v>
      </c>
      <c r="H2" s="30">
        <v>42359</v>
      </c>
      <c r="I2" s="84">
        <v>42416</v>
      </c>
      <c r="J2" s="84">
        <f t="shared" ref="J2:J20" si="0">SUM(I2-H2)</f>
        <v>57</v>
      </c>
      <c r="K2" s="85"/>
      <c r="L2" s="86"/>
      <c r="M2" s="87" t="s">
        <v>233</v>
      </c>
      <c r="N2" s="88" t="s">
        <v>234</v>
      </c>
      <c r="O2" s="84" t="s">
        <v>68</v>
      </c>
      <c r="P2" s="89"/>
      <c r="Q2" s="89"/>
      <c r="R2" s="90"/>
      <c r="S2" s="82"/>
      <c r="T2" s="82"/>
      <c r="U2" s="79"/>
      <c r="V2" s="79"/>
    </row>
    <row r="3" spans="1:22" ht="15.75" x14ac:dyDescent="0.25">
      <c r="A3" s="102">
        <v>2</v>
      </c>
      <c r="B3" s="80">
        <v>45764</v>
      </c>
      <c r="C3" s="81" t="s">
        <v>209</v>
      </c>
      <c r="D3" s="30" t="s">
        <v>524</v>
      </c>
      <c r="E3" s="101"/>
      <c r="F3" s="82" t="s">
        <v>58</v>
      </c>
      <c r="G3" s="82" t="s">
        <v>235</v>
      </c>
      <c r="H3" s="30">
        <v>42603</v>
      </c>
      <c r="I3" s="84">
        <v>42674</v>
      </c>
      <c r="J3" s="84">
        <f t="shared" si="0"/>
        <v>71</v>
      </c>
      <c r="K3" s="85"/>
      <c r="L3" s="86"/>
      <c r="M3" s="87" t="s">
        <v>236</v>
      </c>
      <c r="N3" s="88" t="s">
        <v>237</v>
      </c>
      <c r="O3" s="84" t="s">
        <v>221</v>
      </c>
      <c r="P3" s="89"/>
      <c r="Q3" s="89"/>
      <c r="R3" s="90"/>
      <c r="S3" s="82"/>
      <c r="T3" s="82"/>
      <c r="U3" s="79"/>
      <c r="V3" s="79"/>
    </row>
    <row r="4" spans="1:22" ht="18.75" customHeight="1" x14ac:dyDescent="0.25">
      <c r="A4" s="84">
        <v>3</v>
      </c>
      <c r="B4" s="80">
        <v>45769</v>
      </c>
      <c r="C4" s="81" t="s">
        <v>209</v>
      </c>
      <c r="D4" s="83" t="s">
        <v>238</v>
      </c>
      <c r="E4" s="82"/>
      <c r="F4" s="82" t="s">
        <v>238</v>
      </c>
      <c r="G4" s="82" t="s">
        <v>235</v>
      </c>
      <c r="H4" s="30">
        <v>42675</v>
      </c>
      <c r="I4" s="84">
        <v>42719</v>
      </c>
      <c r="J4" s="84">
        <f t="shared" si="0"/>
        <v>44</v>
      </c>
      <c r="K4" s="85"/>
      <c r="L4" s="86"/>
      <c r="M4" s="87" t="s">
        <v>137</v>
      </c>
      <c r="N4" s="88" t="s">
        <v>164</v>
      </c>
      <c r="O4" s="84"/>
      <c r="P4" s="89"/>
      <c r="Q4" s="89"/>
      <c r="R4" s="90"/>
      <c r="S4" s="82"/>
      <c r="T4" s="82"/>
      <c r="U4" s="79"/>
      <c r="V4" s="79"/>
    </row>
    <row r="5" spans="1:22" s="68" customFormat="1" ht="24" customHeight="1" x14ac:dyDescent="0.25">
      <c r="A5" s="72"/>
      <c r="B5" s="70"/>
      <c r="C5" s="71"/>
      <c r="D5" s="164"/>
      <c r="E5" s="48"/>
      <c r="F5" s="48"/>
      <c r="G5" s="48"/>
      <c r="H5" s="40"/>
      <c r="I5" s="72"/>
      <c r="J5" s="72"/>
      <c r="K5" s="73"/>
      <c r="L5" s="74"/>
      <c r="M5" s="75"/>
      <c r="N5" s="76"/>
      <c r="O5" s="72"/>
      <c r="P5" s="77"/>
      <c r="Q5" s="77"/>
      <c r="R5" s="78"/>
      <c r="S5" s="48"/>
      <c r="T5" s="48"/>
      <c r="U5" s="46"/>
      <c r="V5" s="46"/>
    </row>
    <row r="6" spans="1:22" ht="15.75" x14ac:dyDescent="0.25">
      <c r="A6" s="79"/>
      <c r="B6" s="80">
        <v>45788</v>
      </c>
      <c r="C6" s="81" t="s">
        <v>208</v>
      </c>
      <c r="D6" s="83" t="s">
        <v>240</v>
      </c>
      <c r="E6" s="100"/>
      <c r="F6" s="82" t="s">
        <v>240</v>
      </c>
      <c r="G6" s="82" t="s">
        <v>239</v>
      </c>
      <c r="H6" s="84">
        <v>42719</v>
      </c>
      <c r="I6" s="84">
        <v>42828</v>
      </c>
      <c r="J6" s="84">
        <f t="shared" si="0"/>
        <v>109</v>
      </c>
      <c r="K6" s="85"/>
      <c r="L6" s="86"/>
      <c r="M6" s="87" t="s">
        <v>137</v>
      </c>
      <c r="N6" s="88" t="s">
        <v>241</v>
      </c>
      <c r="O6" s="84" t="s">
        <v>242</v>
      </c>
      <c r="P6" s="89"/>
      <c r="Q6" s="89"/>
      <c r="R6" s="90"/>
      <c r="S6" s="82"/>
      <c r="T6" s="82"/>
      <c r="U6" s="79"/>
      <c r="V6" s="79"/>
    </row>
    <row r="7" spans="1:22" ht="15.75" x14ac:dyDescent="0.25">
      <c r="A7" s="79"/>
      <c r="B7" s="80">
        <v>45789</v>
      </c>
      <c r="C7" s="81" t="s">
        <v>208</v>
      </c>
      <c r="D7" s="83" t="s">
        <v>243</v>
      </c>
      <c r="E7" s="82"/>
      <c r="F7" s="82" t="s">
        <v>243</v>
      </c>
      <c r="G7" s="82" t="s">
        <v>45</v>
      </c>
      <c r="H7" s="84">
        <v>42829</v>
      </c>
      <c r="I7" s="84">
        <v>42852</v>
      </c>
      <c r="J7" s="84">
        <f t="shared" ref="J7" si="1">SUM(I7-H7)</f>
        <v>23</v>
      </c>
      <c r="K7" s="85"/>
      <c r="L7" s="86"/>
      <c r="M7" s="87" t="s">
        <v>137</v>
      </c>
      <c r="N7" s="88" t="s">
        <v>76</v>
      </c>
      <c r="O7" s="84" t="s">
        <v>48</v>
      </c>
      <c r="P7" s="89"/>
      <c r="Q7" s="89"/>
      <c r="R7" s="90"/>
      <c r="S7" s="82"/>
      <c r="T7" s="82"/>
      <c r="U7" s="79"/>
      <c r="V7" s="79"/>
    </row>
    <row r="8" spans="1:22" ht="15.75" x14ac:dyDescent="0.25">
      <c r="A8" s="79"/>
      <c r="B8" s="80">
        <v>45794</v>
      </c>
      <c r="C8" s="81" t="s">
        <v>208</v>
      </c>
      <c r="D8" s="83" t="s">
        <v>192</v>
      </c>
      <c r="E8" s="82"/>
      <c r="F8" s="82" t="s">
        <v>193</v>
      </c>
      <c r="G8" s="82" t="s">
        <v>368</v>
      </c>
      <c r="H8" s="84">
        <v>42863</v>
      </c>
      <c r="I8" s="84">
        <v>43332</v>
      </c>
      <c r="J8" s="84">
        <f t="shared" si="0"/>
        <v>469</v>
      </c>
      <c r="K8" s="85"/>
      <c r="L8" s="86"/>
      <c r="M8" s="87"/>
      <c r="N8" s="88"/>
      <c r="O8" s="84"/>
      <c r="P8" s="89"/>
      <c r="Q8" s="89"/>
      <c r="R8" s="90"/>
      <c r="S8" s="82"/>
      <c r="T8" s="82"/>
      <c r="U8" s="79"/>
      <c r="V8" s="79"/>
    </row>
    <row r="9" spans="1:22" ht="15.75" x14ac:dyDescent="0.25">
      <c r="A9" s="103"/>
      <c r="B9" s="80">
        <v>45801</v>
      </c>
      <c r="C9" s="81" t="s">
        <v>208</v>
      </c>
      <c r="D9" s="30" t="s">
        <v>524</v>
      </c>
      <c r="E9" s="82"/>
      <c r="F9" s="82" t="s">
        <v>58</v>
      </c>
      <c r="G9" s="82" t="s">
        <v>244</v>
      </c>
      <c r="H9" s="84">
        <v>43332</v>
      </c>
      <c r="I9" s="84">
        <v>43375</v>
      </c>
      <c r="J9" s="84">
        <f t="shared" si="0"/>
        <v>43</v>
      </c>
      <c r="K9" s="85"/>
      <c r="L9" s="86"/>
      <c r="M9" s="87" t="s">
        <v>137</v>
      </c>
      <c r="N9" s="88" t="s">
        <v>245</v>
      </c>
      <c r="O9" s="84" t="s">
        <v>246</v>
      </c>
      <c r="P9" s="89"/>
      <c r="Q9" s="89"/>
      <c r="R9" s="90"/>
      <c r="S9" s="82"/>
      <c r="T9" s="82"/>
      <c r="U9" s="79"/>
      <c r="V9" s="79"/>
    </row>
    <row r="10" spans="1:22" ht="15.75" x14ac:dyDescent="0.25">
      <c r="A10" s="103"/>
      <c r="B10" s="80">
        <v>45802</v>
      </c>
      <c r="C10" s="81" t="s">
        <v>208</v>
      </c>
      <c r="D10" s="83" t="s">
        <v>240</v>
      </c>
      <c r="E10" s="100"/>
      <c r="F10" s="82" t="s">
        <v>58</v>
      </c>
      <c r="G10" s="82" t="s">
        <v>248</v>
      </c>
      <c r="H10" s="84">
        <v>43375</v>
      </c>
      <c r="I10" s="84">
        <v>43415</v>
      </c>
      <c r="J10" s="84">
        <f t="shared" si="0"/>
        <v>40</v>
      </c>
      <c r="K10" s="85"/>
      <c r="L10" s="86"/>
      <c r="M10" s="87" t="s">
        <v>137</v>
      </c>
      <c r="N10" s="88" t="s">
        <v>63</v>
      </c>
      <c r="O10" s="84" t="s">
        <v>247</v>
      </c>
      <c r="P10" s="89"/>
      <c r="Q10" s="89"/>
      <c r="R10" s="90"/>
      <c r="S10" s="82"/>
      <c r="T10" s="82"/>
      <c r="U10" s="79"/>
      <c r="V10" s="79"/>
    </row>
    <row r="11" spans="1:22" ht="15.75" x14ac:dyDescent="0.25">
      <c r="A11" s="103"/>
      <c r="B11" s="80">
        <v>45803</v>
      </c>
      <c r="C11" s="81" t="s">
        <v>208</v>
      </c>
      <c r="D11" s="83" t="s">
        <v>238</v>
      </c>
      <c r="E11" s="82"/>
      <c r="F11" s="82" t="s">
        <v>58</v>
      </c>
      <c r="G11" s="82" t="s">
        <v>249</v>
      </c>
      <c r="H11" s="84">
        <v>43415</v>
      </c>
      <c r="I11" s="84">
        <v>43633</v>
      </c>
      <c r="J11" s="84">
        <f t="shared" si="0"/>
        <v>218</v>
      </c>
      <c r="K11" s="85"/>
      <c r="L11" s="86"/>
      <c r="M11" s="87" t="s">
        <v>137</v>
      </c>
      <c r="N11" s="88" t="s">
        <v>250</v>
      </c>
      <c r="O11" s="84"/>
      <c r="P11" s="89"/>
      <c r="Q11" s="89"/>
      <c r="R11" s="90"/>
      <c r="S11" s="82"/>
      <c r="T11" s="82"/>
      <c r="U11" s="79"/>
      <c r="V11" s="79"/>
    </row>
    <row r="12" spans="1:22" s="68" customFormat="1" ht="24.75" customHeight="1" x14ac:dyDescent="0.25">
      <c r="A12" s="46"/>
      <c r="B12" s="70"/>
      <c r="C12" s="71"/>
      <c r="D12" s="164"/>
      <c r="E12" s="48"/>
      <c r="F12" s="48"/>
      <c r="G12" s="48"/>
      <c r="H12" s="72"/>
      <c r="I12" s="72"/>
      <c r="J12" s="72"/>
      <c r="K12" s="73"/>
      <c r="L12" s="74"/>
      <c r="M12" s="75"/>
      <c r="N12" s="76"/>
      <c r="O12" s="72"/>
      <c r="P12" s="77"/>
      <c r="Q12" s="77"/>
      <c r="R12" s="78"/>
      <c r="S12" s="48"/>
      <c r="T12" s="48"/>
      <c r="U12" s="46"/>
      <c r="V12" s="46"/>
    </row>
    <row r="13" spans="1:22" ht="18" customHeight="1" x14ac:dyDescent="0.25">
      <c r="A13" s="79"/>
      <c r="B13" s="92">
        <v>45811</v>
      </c>
      <c r="C13" s="81" t="s">
        <v>251</v>
      </c>
      <c r="D13" s="30" t="s">
        <v>524</v>
      </c>
      <c r="E13" s="82"/>
      <c r="F13" s="82" t="s">
        <v>58</v>
      </c>
      <c r="G13" s="82" t="s">
        <v>30</v>
      </c>
      <c r="H13" s="84">
        <v>43633</v>
      </c>
      <c r="I13" s="84">
        <v>43640</v>
      </c>
      <c r="J13" s="84">
        <f t="shared" si="0"/>
        <v>7</v>
      </c>
      <c r="K13" s="85"/>
      <c r="L13" s="86"/>
      <c r="M13" s="87" t="s">
        <v>137</v>
      </c>
      <c r="N13" s="88" t="s">
        <v>252</v>
      </c>
      <c r="O13" s="84" t="s">
        <v>253</v>
      </c>
      <c r="P13" s="89"/>
      <c r="Q13" s="89"/>
      <c r="R13" s="90"/>
      <c r="S13" s="82"/>
      <c r="T13" s="82"/>
      <c r="U13" s="79"/>
      <c r="V13" s="79"/>
    </row>
    <row r="14" spans="1:22" s="96" customFormat="1" ht="15.75" x14ac:dyDescent="0.25">
      <c r="A14" s="3"/>
      <c r="B14" s="104">
        <v>45821</v>
      </c>
      <c r="C14" s="7" t="s">
        <v>251</v>
      </c>
      <c r="D14" s="93" t="s">
        <v>524</v>
      </c>
      <c r="E14" s="4"/>
      <c r="F14" s="4" t="s">
        <v>297</v>
      </c>
      <c r="G14" s="4" t="s">
        <v>45</v>
      </c>
      <c r="H14" s="105">
        <v>43649</v>
      </c>
      <c r="I14" s="105">
        <v>43671</v>
      </c>
      <c r="J14" s="105">
        <f t="shared" si="0"/>
        <v>22</v>
      </c>
      <c r="K14" s="106"/>
      <c r="L14" s="31"/>
      <c r="M14" s="107" t="s">
        <v>137</v>
      </c>
      <c r="N14" s="108" t="s">
        <v>254</v>
      </c>
      <c r="O14" s="105" t="s">
        <v>255</v>
      </c>
      <c r="P14" s="109"/>
      <c r="Q14" s="109"/>
      <c r="R14" s="8"/>
      <c r="S14" s="4"/>
      <c r="T14" s="4"/>
      <c r="U14" s="3" t="s">
        <v>334</v>
      </c>
      <c r="V14" s="3"/>
    </row>
    <row r="15" spans="1:22" ht="15.75" x14ac:dyDescent="0.25">
      <c r="A15" s="79"/>
      <c r="B15" s="80">
        <v>45823</v>
      </c>
      <c r="C15" s="99" t="s">
        <v>251</v>
      </c>
      <c r="D15" s="30" t="s">
        <v>524</v>
      </c>
      <c r="E15" s="100"/>
      <c r="F15" s="82" t="s">
        <v>58</v>
      </c>
      <c r="G15" s="82" t="s">
        <v>256</v>
      </c>
      <c r="H15" s="84">
        <v>43677</v>
      </c>
      <c r="I15" s="84">
        <v>43755</v>
      </c>
      <c r="J15" s="84">
        <f>SUM(I15-H15)</f>
        <v>78</v>
      </c>
      <c r="K15" s="85"/>
      <c r="L15" s="86"/>
      <c r="M15" s="87" t="s">
        <v>137</v>
      </c>
      <c r="N15" s="88" t="s">
        <v>257</v>
      </c>
      <c r="O15" s="84" t="s">
        <v>68</v>
      </c>
      <c r="P15" s="89"/>
      <c r="Q15" s="89"/>
      <c r="R15" s="90"/>
      <c r="S15" s="82"/>
      <c r="T15" s="82"/>
      <c r="U15" s="79"/>
      <c r="V15" s="79"/>
    </row>
    <row r="16" spans="1:22" ht="15.75" x14ac:dyDescent="0.25">
      <c r="A16" s="79"/>
      <c r="B16" s="80">
        <v>45826</v>
      </c>
      <c r="C16" s="81" t="s">
        <v>251</v>
      </c>
      <c r="D16" s="83" t="s">
        <v>192</v>
      </c>
      <c r="E16" s="82"/>
      <c r="F16" s="82" t="s">
        <v>193</v>
      </c>
      <c r="G16" s="82" t="s">
        <v>258</v>
      </c>
      <c r="H16" s="84">
        <v>43761</v>
      </c>
      <c r="I16" s="84">
        <v>43859</v>
      </c>
      <c r="J16" s="84">
        <f t="shared" si="0"/>
        <v>98</v>
      </c>
      <c r="K16" s="85"/>
      <c r="L16" s="86"/>
      <c r="M16" s="87" t="s">
        <v>137</v>
      </c>
      <c r="N16" s="88" t="s">
        <v>259</v>
      </c>
      <c r="O16" s="84" t="s">
        <v>260</v>
      </c>
      <c r="P16" s="89" t="s">
        <v>298</v>
      </c>
      <c r="Q16" s="89"/>
      <c r="R16" s="90"/>
      <c r="S16" s="82"/>
      <c r="T16" s="82"/>
      <c r="U16" s="79"/>
      <c r="V16" s="79"/>
    </row>
    <row r="17" spans="1:35" ht="15.75" x14ac:dyDescent="0.25">
      <c r="A17" s="79"/>
      <c r="B17" s="80">
        <v>45830</v>
      </c>
      <c r="C17" s="81" t="s">
        <v>251</v>
      </c>
      <c r="D17" s="83" t="s">
        <v>240</v>
      </c>
      <c r="E17" s="100"/>
      <c r="F17" s="82" t="s">
        <v>261</v>
      </c>
      <c r="G17" s="82" t="s">
        <v>256</v>
      </c>
      <c r="H17" s="84">
        <v>43860</v>
      </c>
      <c r="I17" s="84">
        <v>43914</v>
      </c>
      <c r="J17" s="84">
        <f t="shared" si="0"/>
        <v>54</v>
      </c>
      <c r="K17" s="85"/>
      <c r="L17" s="86"/>
      <c r="M17" s="87" t="s">
        <v>137</v>
      </c>
      <c r="N17" s="88" t="s">
        <v>262</v>
      </c>
      <c r="O17" s="84" t="s">
        <v>263</v>
      </c>
      <c r="P17" s="89"/>
      <c r="Q17" s="89"/>
      <c r="R17" s="90"/>
      <c r="S17" s="82"/>
      <c r="T17" s="82"/>
      <c r="U17" s="79"/>
      <c r="V17" s="79"/>
    </row>
    <row r="18" spans="1:35" ht="15.75" x14ac:dyDescent="0.25">
      <c r="A18" s="79"/>
      <c r="B18" s="80">
        <v>45831</v>
      </c>
      <c r="C18" s="81" t="s">
        <v>251</v>
      </c>
      <c r="D18" s="30" t="s">
        <v>524</v>
      </c>
      <c r="E18" s="82"/>
      <c r="F18" s="82" t="s">
        <v>58</v>
      </c>
      <c r="G18" s="82" t="s">
        <v>266</v>
      </c>
      <c r="H18" s="84">
        <v>43914</v>
      </c>
      <c r="I18" s="84">
        <v>43922</v>
      </c>
      <c r="J18" s="84">
        <f t="shared" si="0"/>
        <v>8</v>
      </c>
      <c r="K18" s="85"/>
      <c r="L18" s="86"/>
      <c r="M18" s="87" t="s">
        <v>137</v>
      </c>
      <c r="N18" s="88" t="s">
        <v>264</v>
      </c>
      <c r="O18" s="84" t="s">
        <v>265</v>
      </c>
      <c r="P18" s="89"/>
      <c r="Q18" s="89"/>
      <c r="R18" s="90"/>
      <c r="S18" s="82"/>
      <c r="T18" s="82"/>
      <c r="U18" s="79"/>
      <c r="V18" s="79"/>
    </row>
    <row r="19" spans="1:35" s="96" customFormat="1" ht="15.75" x14ac:dyDescent="0.25">
      <c r="A19" s="3"/>
      <c r="B19" s="104">
        <v>45833</v>
      </c>
      <c r="C19" s="7" t="s">
        <v>251</v>
      </c>
      <c r="D19" s="93" t="s">
        <v>524</v>
      </c>
      <c r="E19" s="4"/>
      <c r="F19" s="4" t="s">
        <v>297</v>
      </c>
      <c r="G19" s="4" t="s">
        <v>45</v>
      </c>
      <c r="H19" s="105">
        <v>43922</v>
      </c>
      <c r="I19" s="105">
        <v>43947</v>
      </c>
      <c r="J19" s="105">
        <f t="shared" si="0"/>
        <v>25</v>
      </c>
      <c r="K19" s="106"/>
      <c r="L19" s="31"/>
      <c r="M19" s="107" t="s">
        <v>137</v>
      </c>
      <c r="N19" s="108" t="s">
        <v>267</v>
      </c>
      <c r="O19" s="105" t="s">
        <v>268</v>
      </c>
      <c r="P19" s="109"/>
      <c r="Q19" s="109"/>
      <c r="R19" s="8"/>
      <c r="S19" s="4"/>
      <c r="T19" s="4"/>
      <c r="U19" s="3" t="s">
        <v>334</v>
      </c>
      <c r="V19" s="3"/>
    </row>
    <row r="20" spans="1:35" ht="16.5" customHeight="1" x14ac:dyDescent="0.25">
      <c r="A20" s="79"/>
      <c r="B20" s="80">
        <v>45837</v>
      </c>
      <c r="C20" s="81" t="s">
        <v>251</v>
      </c>
      <c r="D20" s="30" t="s">
        <v>524</v>
      </c>
      <c r="E20" s="100"/>
      <c r="F20" s="82" t="s">
        <v>58</v>
      </c>
      <c r="G20" s="82" t="s">
        <v>271</v>
      </c>
      <c r="H20" s="84">
        <v>43951</v>
      </c>
      <c r="I20" s="84">
        <v>43974</v>
      </c>
      <c r="J20" s="84">
        <f t="shared" si="0"/>
        <v>23</v>
      </c>
      <c r="K20" s="85"/>
      <c r="L20" s="86"/>
      <c r="M20" s="87" t="s">
        <v>137</v>
      </c>
      <c r="N20" s="88" t="s">
        <v>269</v>
      </c>
      <c r="O20" s="84" t="s">
        <v>270</v>
      </c>
      <c r="P20" s="89"/>
      <c r="Q20" s="89"/>
      <c r="R20" s="90"/>
      <c r="S20" s="82"/>
      <c r="T20" s="82"/>
      <c r="U20" s="79"/>
      <c r="V20" s="79"/>
    </row>
    <row r="21" spans="1:35" s="68" customFormat="1" ht="22.5" customHeight="1" x14ac:dyDescent="0.25">
      <c r="A21" s="46"/>
      <c r="B21" s="70"/>
      <c r="C21" s="71"/>
      <c r="D21" s="164"/>
      <c r="E21" s="48"/>
      <c r="F21" s="48"/>
      <c r="G21" s="48"/>
      <c r="H21" s="72"/>
      <c r="I21" s="72"/>
      <c r="J21" s="72"/>
      <c r="K21" s="73"/>
      <c r="L21" s="74"/>
      <c r="M21" s="75"/>
      <c r="N21" s="76"/>
      <c r="O21" s="72"/>
      <c r="P21" s="77"/>
      <c r="Q21" s="77"/>
      <c r="R21" s="78"/>
      <c r="S21" s="48"/>
      <c r="T21" s="48"/>
      <c r="U21" s="46"/>
      <c r="V21" s="46"/>
    </row>
    <row r="22" spans="1:35" ht="15.75" x14ac:dyDescent="0.25">
      <c r="A22" s="30">
        <v>1</v>
      </c>
      <c r="B22" s="80">
        <v>45839</v>
      </c>
      <c r="C22" s="80" t="s">
        <v>207</v>
      </c>
      <c r="D22" s="30" t="s">
        <v>524</v>
      </c>
      <c r="E22" s="30"/>
      <c r="F22" s="30" t="s">
        <v>58</v>
      </c>
      <c r="G22" s="30" t="s">
        <v>217</v>
      </c>
      <c r="H22" s="30">
        <v>43975</v>
      </c>
      <c r="I22" s="30">
        <v>43995</v>
      </c>
      <c r="J22" s="84">
        <f t="shared" ref="J22:J27" si="2">I22-H22</f>
        <v>20</v>
      </c>
      <c r="K22" s="32"/>
      <c r="L22" s="47">
        <f t="shared" ref="L22:L27" si="3">J22*K22</f>
        <v>0</v>
      </c>
      <c r="M22" s="30" t="s">
        <v>137</v>
      </c>
      <c r="N22" s="91" t="s">
        <v>218</v>
      </c>
      <c r="O22" s="91" t="s">
        <v>72</v>
      </c>
      <c r="P22" s="32"/>
      <c r="Q22" s="32" t="e">
        <f>(O22-N22)*24</f>
        <v>#VALUE!</v>
      </c>
      <c r="R22" s="35" t="e">
        <f>P22*Q22</f>
        <v>#VALUE!</v>
      </c>
      <c r="S22" s="30"/>
      <c r="T22" s="47" t="e">
        <f>SUM(L22+R22+S22)</f>
        <v>#VALUE!</v>
      </c>
      <c r="U22" s="30"/>
      <c r="V22" s="30"/>
      <c r="W22" s="20"/>
    </row>
    <row r="23" spans="1:35" ht="15.75" x14ac:dyDescent="0.25">
      <c r="A23" s="30">
        <v>2</v>
      </c>
      <c r="B23" s="80">
        <v>45844</v>
      </c>
      <c r="C23" s="80" t="s">
        <v>207</v>
      </c>
      <c r="D23" s="83" t="s">
        <v>240</v>
      </c>
      <c r="E23" s="15"/>
      <c r="F23" s="30" t="s">
        <v>58</v>
      </c>
      <c r="G23" s="30" t="s">
        <v>219</v>
      </c>
      <c r="H23" s="30">
        <v>43995</v>
      </c>
      <c r="I23" s="30">
        <v>44098</v>
      </c>
      <c r="J23" s="84">
        <f t="shared" si="2"/>
        <v>103</v>
      </c>
      <c r="K23" s="32"/>
      <c r="L23" s="47">
        <f t="shared" si="3"/>
        <v>0</v>
      </c>
      <c r="M23" s="30" t="s">
        <v>222</v>
      </c>
      <c r="N23" s="30" t="s">
        <v>220</v>
      </c>
      <c r="O23" s="30" t="s">
        <v>221</v>
      </c>
      <c r="P23" s="32"/>
      <c r="Q23" s="32">
        <v>0</v>
      </c>
      <c r="R23" s="35">
        <f>P23*Q23</f>
        <v>0</v>
      </c>
      <c r="S23" s="30"/>
      <c r="T23" s="47">
        <f>SUM(L23+R23)</f>
        <v>0</v>
      </c>
      <c r="U23" s="30"/>
      <c r="V23" s="30"/>
    </row>
    <row r="24" spans="1:35" ht="15.75" x14ac:dyDescent="0.25">
      <c r="A24" s="30">
        <v>3</v>
      </c>
      <c r="B24" s="80">
        <v>45849</v>
      </c>
      <c r="C24" s="80" t="s">
        <v>207</v>
      </c>
      <c r="D24" s="30" t="s">
        <v>524</v>
      </c>
      <c r="E24" s="30"/>
      <c r="F24" s="30" t="s">
        <v>58</v>
      </c>
      <c r="G24" s="30" t="s">
        <v>223</v>
      </c>
      <c r="H24" s="30">
        <v>44098</v>
      </c>
      <c r="I24" s="30">
        <v>44148</v>
      </c>
      <c r="J24" s="84">
        <f t="shared" si="2"/>
        <v>50</v>
      </c>
      <c r="K24" s="32"/>
      <c r="L24" s="47">
        <f t="shared" si="3"/>
        <v>0</v>
      </c>
      <c r="M24" s="30" t="s">
        <v>137</v>
      </c>
      <c r="N24" s="30" t="s">
        <v>196</v>
      </c>
      <c r="O24" s="30" t="s">
        <v>224</v>
      </c>
      <c r="P24" s="30"/>
      <c r="Q24" s="30"/>
      <c r="R24" s="30"/>
      <c r="S24" s="30"/>
      <c r="T24" s="30"/>
      <c r="U24" s="30"/>
      <c r="V24" s="30"/>
    </row>
    <row r="25" spans="1:35" ht="15.75" x14ac:dyDescent="0.25">
      <c r="A25" s="30">
        <v>4</v>
      </c>
      <c r="B25" s="80">
        <v>45850</v>
      </c>
      <c r="C25" s="80" t="s">
        <v>207</v>
      </c>
      <c r="D25" s="30" t="s">
        <v>524</v>
      </c>
      <c r="E25" s="30"/>
      <c r="F25" s="30" t="s">
        <v>58</v>
      </c>
      <c r="G25" s="30" t="s">
        <v>223</v>
      </c>
      <c r="H25" s="30">
        <v>44148</v>
      </c>
      <c r="I25" s="30">
        <v>44152</v>
      </c>
      <c r="J25" s="84">
        <f t="shared" si="2"/>
        <v>4</v>
      </c>
      <c r="K25" s="30"/>
      <c r="L25" s="47">
        <f t="shared" si="3"/>
        <v>0</v>
      </c>
      <c r="M25" s="30" t="s">
        <v>137</v>
      </c>
      <c r="N25" s="30" t="s">
        <v>20</v>
      </c>
      <c r="O25" s="30" t="s">
        <v>225</v>
      </c>
      <c r="P25" s="30"/>
      <c r="Q25" s="30"/>
      <c r="R25" s="30"/>
      <c r="S25" s="30"/>
      <c r="T25" s="30"/>
      <c r="U25" s="30"/>
      <c r="V25" s="30"/>
    </row>
    <row r="26" spans="1:35" ht="15.75" x14ac:dyDescent="0.25">
      <c r="A26" s="30">
        <v>5</v>
      </c>
      <c r="B26" s="80">
        <v>45851</v>
      </c>
      <c r="C26" s="80" t="s">
        <v>207</v>
      </c>
      <c r="D26" s="83" t="s">
        <v>398</v>
      </c>
      <c r="E26" s="15"/>
      <c r="F26" s="30" t="s">
        <v>58</v>
      </c>
      <c r="G26" s="30" t="s">
        <v>228</v>
      </c>
      <c r="H26" s="30">
        <v>44152</v>
      </c>
      <c r="I26" s="30">
        <v>44250</v>
      </c>
      <c r="J26" s="30">
        <f t="shared" si="2"/>
        <v>98</v>
      </c>
      <c r="K26" s="30"/>
      <c r="L26" s="30">
        <f t="shared" si="3"/>
        <v>0</v>
      </c>
      <c r="M26" s="30" t="s">
        <v>222</v>
      </c>
      <c r="N26" s="30" t="s">
        <v>226</v>
      </c>
      <c r="O26" s="30" t="s">
        <v>227</v>
      </c>
      <c r="P26" s="30"/>
      <c r="Q26" s="30"/>
      <c r="R26" s="30"/>
      <c r="S26" s="30"/>
      <c r="T26" s="30"/>
      <c r="U26" s="30"/>
      <c r="V26" s="30"/>
    </row>
    <row r="27" spans="1:35" ht="15.75" x14ac:dyDescent="0.25">
      <c r="A27" s="30">
        <v>6</v>
      </c>
      <c r="B27" s="80">
        <v>45861</v>
      </c>
      <c r="C27" s="80" t="s">
        <v>207</v>
      </c>
      <c r="D27" s="83" t="s">
        <v>238</v>
      </c>
      <c r="E27" s="30"/>
      <c r="F27" s="30" t="s">
        <v>58</v>
      </c>
      <c r="G27" s="30" t="s">
        <v>335</v>
      </c>
      <c r="H27" s="30">
        <v>44251</v>
      </c>
      <c r="I27" s="30">
        <v>45407</v>
      </c>
      <c r="J27" s="84">
        <f t="shared" si="2"/>
        <v>1156</v>
      </c>
      <c r="K27" s="30"/>
      <c r="L27" s="47">
        <f t="shared" si="3"/>
        <v>0</v>
      </c>
      <c r="M27" s="30" t="s">
        <v>222</v>
      </c>
      <c r="N27" s="30" t="s">
        <v>62</v>
      </c>
      <c r="O27" s="30" t="s">
        <v>35</v>
      </c>
      <c r="P27" s="30"/>
      <c r="Q27" s="30"/>
      <c r="R27" s="30"/>
      <c r="S27" s="30"/>
      <c r="T27" s="30"/>
      <c r="U27" s="30"/>
      <c r="V27" s="30"/>
    </row>
    <row r="28" spans="1:35" ht="15.75" x14ac:dyDescent="0.25">
      <c r="A28" s="72"/>
      <c r="B28" s="70"/>
      <c r="C28" s="71"/>
      <c r="D28" s="164"/>
      <c r="E28" s="48"/>
      <c r="F28" s="48"/>
      <c r="G28" s="48"/>
      <c r="H28" s="40"/>
      <c r="I28" s="72"/>
      <c r="J28" s="72"/>
      <c r="K28" s="73"/>
      <c r="L28" s="74"/>
      <c r="M28" s="75"/>
      <c r="N28" s="76"/>
      <c r="O28" s="72"/>
      <c r="P28" s="77"/>
      <c r="Q28" s="77"/>
      <c r="R28" s="78"/>
      <c r="S28" s="48"/>
      <c r="T28" s="48"/>
      <c r="U28" s="46"/>
      <c r="V28" s="46"/>
      <c r="W28" s="72"/>
      <c r="X28" s="73"/>
      <c r="Y28" s="74"/>
      <c r="Z28" s="75"/>
      <c r="AA28" s="76"/>
      <c r="AB28" s="72"/>
      <c r="AC28" s="77"/>
      <c r="AD28" s="77"/>
      <c r="AE28" s="78"/>
      <c r="AF28" s="48"/>
      <c r="AG28" s="48"/>
      <c r="AH28" s="46"/>
      <c r="AI28" s="46"/>
    </row>
    <row r="29" spans="1:35" ht="15.75" x14ac:dyDescent="0.25">
      <c r="A29" s="30">
        <v>1</v>
      </c>
      <c r="B29" s="80">
        <v>45879</v>
      </c>
      <c r="C29" s="81" t="s">
        <v>291</v>
      </c>
      <c r="D29" s="83" t="s">
        <v>240</v>
      </c>
      <c r="E29" s="100"/>
      <c r="F29" s="82" t="s">
        <v>336</v>
      </c>
      <c r="G29" s="83" t="s">
        <v>337</v>
      </c>
      <c r="H29" s="30">
        <v>45408</v>
      </c>
      <c r="I29" s="84">
        <v>45482</v>
      </c>
      <c r="J29" s="84">
        <f t="shared" ref="J29:J30" si="4">SUM(I29-H29)</f>
        <v>74</v>
      </c>
      <c r="M29" s="30" t="s">
        <v>137</v>
      </c>
      <c r="N29" s="84" t="s">
        <v>257</v>
      </c>
      <c r="O29" s="80" t="s">
        <v>338</v>
      </c>
      <c r="P29" s="81"/>
      <c r="Q29" s="82"/>
      <c r="R29" s="100"/>
      <c r="S29" s="82"/>
      <c r="T29" s="83"/>
      <c r="U29" s="30"/>
      <c r="V29" s="84"/>
      <c r="W29" s="84"/>
      <c r="X29" s="85"/>
      <c r="Y29" s="86"/>
      <c r="Z29" s="87" t="s">
        <v>233</v>
      </c>
      <c r="AA29" s="88" t="s">
        <v>234</v>
      </c>
      <c r="AB29" s="84" t="s">
        <v>68</v>
      </c>
      <c r="AC29" s="89"/>
      <c r="AD29" s="89"/>
      <c r="AE29" s="90"/>
      <c r="AF29" s="82"/>
      <c r="AG29" s="82"/>
      <c r="AH29" s="79"/>
      <c r="AI29" s="79"/>
    </row>
    <row r="30" spans="1:35" ht="15.75" x14ac:dyDescent="0.25">
      <c r="A30" s="110">
        <v>2</v>
      </c>
      <c r="B30" s="80">
        <v>45881</v>
      </c>
      <c r="D30" s="30" t="s">
        <v>524</v>
      </c>
      <c r="E30" s="30"/>
      <c r="F30" s="30" t="s">
        <v>58</v>
      </c>
      <c r="G30" s="110" t="s">
        <v>75</v>
      </c>
      <c r="H30" s="110">
        <v>45482</v>
      </c>
      <c r="I30" s="110">
        <v>45510</v>
      </c>
      <c r="J30" s="84">
        <f t="shared" si="4"/>
        <v>28</v>
      </c>
      <c r="M30" s="30" t="s">
        <v>137</v>
      </c>
      <c r="N30" s="110" t="s">
        <v>339</v>
      </c>
      <c r="O30" s="110" t="s">
        <v>340</v>
      </c>
    </row>
    <row r="31" spans="1:35" ht="15.75" x14ac:dyDescent="0.25">
      <c r="A31" s="126"/>
      <c r="B31" s="127"/>
      <c r="C31" s="128"/>
      <c r="D31" s="165"/>
      <c r="E31" s="129"/>
      <c r="F31" s="129"/>
      <c r="G31" s="129"/>
      <c r="H31" s="130"/>
      <c r="I31" s="126"/>
      <c r="J31" s="126"/>
      <c r="K31" s="131"/>
      <c r="L31" s="132"/>
      <c r="M31" s="133"/>
      <c r="N31" s="134"/>
      <c r="O31" s="126"/>
      <c r="P31" s="135"/>
      <c r="Q31" s="135"/>
      <c r="R31" s="136"/>
      <c r="S31" s="129"/>
      <c r="T31" s="129"/>
      <c r="U31" s="137"/>
      <c r="V31" s="137"/>
      <c r="W31" s="126"/>
      <c r="X31" s="131"/>
      <c r="Y31" s="132"/>
      <c r="Z31" s="133"/>
      <c r="AA31" s="134"/>
      <c r="AB31" s="126"/>
      <c r="AC31" s="135"/>
      <c r="AD31" s="135"/>
      <c r="AE31" s="136"/>
      <c r="AF31" s="129"/>
      <c r="AG31" s="129"/>
      <c r="AH31" s="137"/>
      <c r="AI31" s="137"/>
    </row>
    <row r="32" spans="1:35" s="30" customFormat="1" ht="15.75" x14ac:dyDescent="0.25">
      <c r="A32" s="30">
        <v>1</v>
      </c>
      <c r="B32" s="80">
        <v>45907</v>
      </c>
      <c r="C32" s="80" t="s">
        <v>207</v>
      </c>
      <c r="D32" s="17" t="s">
        <v>395</v>
      </c>
      <c r="F32" s="30" t="s">
        <v>58</v>
      </c>
      <c r="G32" s="30" t="s">
        <v>396</v>
      </c>
      <c r="H32" s="30">
        <v>45510</v>
      </c>
      <c r="I32" s="30">
        <v>45514</v>
      </c>
      <c r="J32" s="84">
        <f t="shared" ref="J32:J51" si="5">I32-H32</f>
        <v>4</v>
      </c>
      <c r="K32" s="32"/>
      <c r="L32" s="47">
        <f t="shared" ref="L32" si="6">J32*K32</f>
        <v>0</v>
      </c>
      <c r="M32" s="30" t="s">
        <v>137</v>
      </c>
      <c r="N32" s="91" t="s">
        <v>73</v>
      </c>
      <c r="O32" s="91" t="s">
        <v>397</v>
      </c>
    </row>
    <row r="33" spans="1:22" ht="15.75" x14ac:dyDescent="0.25">
      <c r="A33" s="20"/>
      <c r="B33" s="139">
        <v>45910</v>
      </c>
      <c r="C33" s="122"/>
      <c r="D33" s="30" t="s">
        <v>524</v>
      </c>
      <c r="E33" s="122"/>
      <c r="F33" s="122" t="s">
        <v>46</v>
      </c>
      <c r="G33" s="122" t="s">
        <v>410</v>
      </c>
      <c r="H33" s="122">
        <v>45514</v>
      </c>
      <c r="I33" s="20">
        <v>45537</v>
      </c>
      <c r="J33" s="140">
        <f t="shared" si="5"/>
        <v>23</v>
      </c>
      <c r="K33" s="122"/>
      <c r="L33" s="122"/>
      <c r="M33" s="121" t="s">
        <v>137</v>
      </c>
      <c r="N33" s="122" t="s">
        <v>411</v>
      </c>
      <c r="O33" s="122" t="s">
        <v>412</v>
      </c>
      <c r="P33" s="20"/>
      <c r="Q33" s="20"/>
      <c r="R33" s="20"/>
      <c r="S33" s="20"/>
      <c r="T33" s="20"/>
      <c r="U33" s="20"/>
      <c r="V33" s="20"/>
    </row>
    <row r="34" spans="1:22" ht="15.75" x14ac:dyDescent="0.25">
      <c r="B34" s="139">
        <v>45914</v>
      </c>
      <c r="C34" s="121"/>
      <c r="D34" s="121" t="s">
        <v>419</v>
      </c>
      <c r="E34" s="121"/>
      <c r="F34" s="147" t="s">
        <v>527</v>
      </c>
      <c r="G34" s="121" t="s">
        <v>424</v>
      </c>
      <c r="H34" s="20">
        <v>45537</v>
      </c>
      <c r="I34" s="121">
        <v>45596</v>
      </c>
      <c r="J34" s="140">
        <f t="shared" si="5"/>
        <v>59</v>
      </c>
      <c r="K34" s="121"/>
      <c r="L34" s="121"/>
      <c r="M34" s="121" t="s">
        <v>137</v>
      </c>
      <c r="N34" s="121" t="s">
        <v>425</v>
      </c>
      <c r="O34" s="121" t="s">
        <v>426</v>
      </c>
    </row>
    <row r="35" spans="1:22" ht="15.75" x14ac:dyDescent="0.25">
      <c r="A35" s="30"/>
      <c r="B35" s="44">
        <v>45919</v>
      </c>
      <c r="C35" s="30"/>
      <c r="D35" s="30" t="s">
        <v>436</v>
      </c>
      <c r="E35" s="30"/>
      <c r="F35" s="93" t="s">
        <v>46</v>
      </c>
      <c r="G35" s="30" t="s">
        <v>45</v>
      </c>
      <c r="H35" s="30">
        <v>45596</v>
      </c>
      <c r="I35" s="30">
        <v>45616</v>
      </c>
      <c r="J35" s="33">
        <f t="shared" si="5"/>
        <v>20</v>
      </c>
      <c r="K35" s="30"/>
      <c r="L35" s="30"/>
      <c r="M35" s="30" t="s">
        <v>437</v>
      </c>
      <c r="N35" s="30" t="s">
        <v>438</v>
      </c>
      <c r="O35" s="30" t="s">
        <v>439</v>
      </c>
    </row>
    <row r="36" spans="1:22" ht="15.75" x14ac:dyDescent="0.25">
      <c r="A36" s="30"/>
      <c r="B36" s="44">
        <v>45920</v>
      </c>
      <c r="C36" s="30"/>
      <c r="D36" s="30" t="s">
        <v>28</v>
      </c>
      <c r="E36" s="30"/>
      <c r="F36" s="30" t="s">
        <v>442</v>
      </c>
      <c r="G36" s="30" t="s">
        <v>443</v>
      </c>
      <c r="H36" s="30">
        <v>45616</v>
      </c>
      <c r="I36" s="30">
        <v>45622</v>
      </c>
      <c r="J36" s="33">
        <f t="shared" si="5"/>
        <v>6</v>
      </c>
      <c r="K36" s="30"/>
      <c r="L36" s="30"/>
      <c r="M36" s="30" t="s">
        <v>137</v>
      </c>
      <c r="N36" s="30" t="s">
        <v>444</v>
      </c>
      <c r="O36" s="30" t="s">
        <v>183</v>
      </c>
    </row>
    <row r="37" spans="1:22" x14ac:dyDescent="0.25">
      <c r="A37" s="30"/>
      <c r="B37" s="44">
        <v>45921</v>
      </c>
      <c r="C37" s="30"/>
      <c r="D37" s="30" t="s">
        <v>524</v>
      </c>
      <c r="E37" s="30"/>
      <c r="F37" s="30" t="s">
        <v>529</v>
      </c>
      <c r="G37" s="30" t="s">
        <v>445</v>
      </c>
      <c r="H37" s="30">
        <v>45622</v>
      </c>
      <c r="I37" s="30">
        <v>45645</v>
      </c>
      <c r="J37" s="30">
        <f t="shared" si="5"/>
        <v>23</v>
      </c>
      <c r="K37" s="30"/>
      <c r="L37" s="30"/>
      <c r="M37" s="30" t="s">
        <v>137</v>
      </c>
      <c r="N37" s="30" t="s">
        <v>446</v>
      </c>
      <c r="O37" s="30" t="s">
        <v>224</v>
      </c>
    </row>
    <row r="38" spans="1:22" x14ac:dyDescent="0.25">
      <c r="A38" s="30"/>
      <c r="B38" s="44">
        <v>45922</v>
      </c>
      <c r="C38" s="30"/>
      <c r="D38" s="30" t="s">
        <v>524</v>
      </c>
      <c r="E38" s="30"/>
      <c r="F38" s="30" t="s">
        <v>58</v>
      </c>
      <c r="G38" s="30" t="s">
        <v>447</v>
      </c>
      <c r="H38" s="30">
        <v>45645</v>
      </c>
      <c r="I38" s="30">
        <v>45652</v>
      </c>
      <c r="J38" s="30">
        <f t="shared" si="5"/>
        <v>7</v>
      </c>
      <c r="K38" s="30"/>
      <c r="L38" s="30"/>
      <c r="M38" s="30" t="s">
        <v>137</v>
      </c>
      <c r="N38" s="30" t="s">
        <v>241</v>
      </c>
      <c r="O38" s="91" t="s">
        <v>21</v>
      </c>
    </row>
    <row r="39" spans="1:22" x14ac:dyDescent="0.25">
      <c r="A39" s="30"/>
      <c r="B39" s="44">
        <v>45922</v>
      </c>
      <c r="C39" s="30"/>
      <c r="D39" s="30" t="s">
        <v>526</v>
      </c>
      <c r="E39" s="30"/>
      <c r="F39" s="30" t="s">
        <v>528</v>
      </c>
      <c r="G39" s="30" t="s">
        <v>45</v>
      </c>
      <c r="H39" s="30">
        <v>45652</v>
      </c>
      <c r="I39" s="30">
        <v>45676</v>
      </c>
      <c r="J39" s="30">
        <f t="shared" si="5"/>
        <v>24</v>
      </c>
      <c r="K39" s="30"/>
      <c r="L39" s="30"/>
      <c r="M39" s="30" t="s">
        <v>137</v>
      </c>
      <c r="N39" s="30" t="s">
        <v>448</v>
      </c>
      <c r="O39" s="30" t="s">
        <v>449</v>
      </c>
    </row>
    <row r="40" spans="1:22" x14ac:dyDescent="0.25">
      <c r="A40" s="121"/>
      <c r="B40" s="139">
        <v>45924</v>
      </c>
      <c r="C40" s="121"/>
      <c r="D40" s="121" t="s">
        <v>450</v>
      </c>
      <c r="E40" s="121"/>
      <c r="F40" s="121" t="s">
        <v>58</v>
      </c>
      <c r="G40" s="121" t="s">
        <v>256</v>
      </c>
      <c r="H40" s="121">
        <v>45676</v>
      </c>
      <c r="I40" s="121">
        <v>45730</v>
      </c>
      <c r="J40" s="121">
        <f t="shared" si="5"/>
        <v>54</v>
      </c>
      <c r="K40" s="121"/>
      <c r="L40" s="121"/>
      <c r="M40" s="121" t="s">
        <v>195</v>
      </c>
      <c r="N40" s="121" t="s">
        <v>26</v>
      </c>
      <c r="O40" s="121" t="s">
        <v>307</v>
      </c>
    </row>
    <row r="41" spans="1:22" x14ac:dyDescent="0.25">
      <c r="A41" s="30"/>
      <c r="B41" s="44">
        <v>45928</v>
      </c>
      <c r="C41" s="30"/>
      <c r="D41" s="30" t="s">
        <v>240</v>
      </c>
      <c r="E41" s="30"/>
      <c r="F41" s="30" t="s">
        <v>58</v>
      </c>
      <c r="G41" s="30" t="s">
        <v>424</v>
      </c>
      <c r="H41" s="30">
        <v>45730</v>
      </c>
      <c r="I41" s="30">
        <v>45802</v>
      </c>
      <c r="J41" s="30">
        <f t="shared" si="5"/>
        <v>72</v>
      </c>
      <c r="K41" s="30"/>
      <c r="L41" s="30"/>
      <c r="M41" s="30" t="s">
        <v>137</v>
      </c>
      <c r="N41" s="30" t="s">
        <v>465</v>
      </c>
      <c r="O41" s="30" t="s">
        <v>466</v>
      </c>
      <c r="P41" s="30"/>
    </row>
    <row r="42" spans="1:22" x14ac:dyDescent="0.25">
      <c r="A42" s="30"/>
      <c r="B42" s="44">
        <v>45930</v>
      </c>
      <c r="C42" s="30"/>
      <c r="D42" s="30" t="s">
        <v>525</v>
      </c>
      <c r="E42" s="30"/>
      <c r="F42" s="30" t="s">
        <v>58</v>
      </c>
      <c r="G42" s="30" t="s">
        <v>484</v>
      </c>
      <c r="H42" s="30">
        <v>45802</v>
      </c>
      <c r="I42" s="30">
        <v>45824</v>
      </c>
      <c r="J42" s="30">
        <f t="shared" si="5"/>
        <v>22</v>
      </c>
      <c r="K42" s="30"/>
      <c r="L42" s="30"/>
      <c r="M42" s="30" t="s">
        <v>137</v>
      </c>
      <c r="N42" s="30" t="s">
        <v>485</v>
      </c>
      <c r="O42" s="30" t="s">
        <v>68</v>
      </c>
      <c r="P42" s="30"/>
    </row>
    <row r="43" spans="1:22" x14ac:dyDescent="0.25">
      <c r="A43" s="30"/>
      <c r="B43" s="44">
        <v>45932</v>
      </c>
      <c r="C43" s="30"/>
      <c r="D43" s="30" t="s">
        <v>100</v>
      </c>
      <c r="E43" s="30"/>
      <c r="F43" s="30" t="s">
        <v>336</v>
      </c>
      <c r="G43" s="30" t="s">
        <v>219</v>
      </c>
      <c r="H43" s="30">
        <v>45824</v>
      </c>
      <c r="I43" s="30">
        <v>45918</v>
      </c>
      <c r="J43" s="30">
        <f t="shared" si="5"/>
        <v>94</v>
      </c>
      <c r="K43" s="30"/>
      <c r="L43" s="30"/>
      <c r="M43" s="30" t="s">
        <v>486</v>
      </c>
      <c r="N43" s="30" t="s">
        <v>487</v>
      </c>
      <c r="O43" s="30" t="s">
        <v>231</v>
      </c>
      <c r="P43" s="30"/>
    </row>
    <row r="44" spans="1:22" s="16" customFormat="1" x14ac:dyDescent="0.25">
      <c r="A44" s="15"/>
      <c r="B44" s="162">
        <v>45934</v>
      </c>
      <c r="C44" s="15"/>
      <c r="D44" s="15" t="s">
        <v>488</v>
      </c>
      <c r="E44" s="15"/>
      <c r="F44" s="15" t="s">
        <v>489</v>
      </c>
      <c r="G44" s="15" t="s">
        <v>490</v>
      </c>
      <c r="H44" s="15">
        <v>45918</v>
      </c>
      <c r="I44" s="15">
        <v>46060</v>
      </c>
      <c r="J44" s="15">
        <f t="shared" si="5"/>
        <v>142</v>
      </c>
      <c r="K44" s="15"/>
      <c r="L44" s="15"/>
      <c r="M44" s="15" t="s">
        <v>137</v>
      </c>
      <c r="N44" s="15" t="s">
        <v>521</v>
      </c>
      <c r="O44" s="15" t="s">
        <v>522</v>
      </c>
      <c r="P44" s="15"/>
    </row>
    <row r="45" spans="1:22" x14ac:dyDescent="0.25">
      <c r="A45" s="30"/>
      <c r="B45" s="44">
        <v>45935</v>
      </c>
      <c r="C45" s="30"/>
      <c r="D45" s="30" t="s">
        <v>545</v>
      </c>
      <c r="E45" s="30"/>
      <c r="F45" s="30" t="s">
        <v>336</v>
      </c>
      <c r="G45" s="30" t="s">
        <v>491</v>
      </c>
      <c r="H45" s="30">
        <v>46060</v>
      </c>
      <c r="I45" s="30">
        <v>46169</v>
      </c>
      <c r="J45" s="30">
        <f t="shared" si="5"/>
        <v>109</v>
      </c>
      <c r="K45" s="30"/>
      <c r="L45" s="30"/>
      <c r="M45" s="30" t="s">
        <v>137</v>
      </c>
      <c r="N45" s="30" t="s">
        <v>519</v>
      </c>
      <c r="O45" s="30" t="s">
        <v>520</v>
      </c>
      <c r="P45" s="30"/>
    </row>
    <row r="46" spans="1:22" s="16" customFormat="1" x14ac:dyDescent="0.25">
      <c r="A46" s="15"/>
      <c r="B46" s="162">
        <v>45942</v>
      </c>
      <c r="C46" s="15"/>
      <c r="D46" s="15" t="s">
        <v>240</v>
      </c>
      <c r="E46" s="15"/>
      <c r="F46" s="15" t="s">
        <v>336</v>
      </c>
      <c r="G46" s="15" t="s">
        <v>424</v>
      </c>
      <c r="H46" s="15">
        <v>46170</v>
      </c>
      <c r="I46" s="15">
        <v>46241</v>
      </c>
      <c r="J46" s="15">
        <f t="shared" si="5"/>
        <v>71</v>
      </c>
      <c r="K46" s="15"/>
      <c r="L46" s="15"/>
      <c r="M46" s="15" t="s">
        <v>137</v>
      </c>
      <c r="N46" s="15" t="s">
        <v>518</v>
      </c>
      <c r="O46" s="15" t="s">
        <v>313</v>
      </c>
      <c r="P46" s="15"/>
    </row>
    <row r="47" spans="1:22" s="16" customFormat="1" x14ac:dyDescent="0.25">
      <c r="A47" s="93"/>
      <c r="B47" s="162">
        <v>45947</v>
      </c>
      <c r="C47" s="15"/>
      <c r="D47" s="15" t="s">
        <v>524</v>
      </c>
      <c r="E47" s="15"/>
      <c r="F47" s="93" t="s">
        <v>46</v>
      </c>
      <c r="G47" s="15" t="s">
        <v>45</v>
      </c>
      <c r="H47" s="15">
        <v>46241</v>
      </c>
      <c r="I47" s="15">
        <v>46264</v>
      </c>
      <c r="J47" s="15">
        <f t="shared" si="5"/>
        <v>23</v>
      </c>
      <c r="K47" s="15"/>
      <c r="L47" s="15"/>
      <c r="M47" s="15" t="s">
        <v>437</v>
      </c>
      <c r="N47" s="15" t="s">
        <v>523</v>
      </c>
      <c r="O47" s="15" t="s">
        <v>295</v>
      </c>
      <c r="P47" s="15"/>
    </row>
    <row r="48" spans="1:22" x14ac:dyDescent="0.25">
      <c r="A48" s="30"/>
      <c r="B48" s="44">
        <v>45947</v>
      </c>
      <c r="C48" s="30"/>
      <c r="D48" s="30" t="s">
        <v>524</v>
      </c>
      <c r="E48" s="30"/>
      <c r="F48" s="30" t="s">
        <v>58</v>
      </c>
      <c r="G48" s="30" t="s">
        <v>30</v>
      </c>
      <c r="H48" s="30">
        <v>46264</v>
      </c>
      <c r="I48" s="30">
        <v>46274</v>
      </c>
      <c r="J48" s="30">
        <f t="shared" si="5"/>
        <v>10</v>
      </c>
      <c r="K48" s="30"/>
      <c r="L48" s="30"/>
      <c r="M48" s="30" t="s">
        <v>137</v>
      </c>
      <c r="N48" s="30" t="s">
        <v>62</v>
      </c>
      <c r="O48" s="30" t="s">
        <v>289</v>
      </c>
      <c r="P48" s="30"/>
    </row>
    <row r="49" spans="1:22" s="16" customFormat="1" x14ac:dyDescent="0.25">
      <c r="A49" s="93"/>
      <c r="B49" s="162">
        <v>45948</v>
      </c>
      <c r="C49" s="15"/>
      <c r="D49" s="15" t="s">
        <v>524</v>
      </c>
      <c r="E49" s="15"/>
      <c r="F49" s="93" t="s">
        <v>46</v>
      </c>
      <c r="G49" s="15" t="s">
        <v>45</v>
      </c>
      <c r="H49" s="15">
        <v>46274</v>
      </c>
      <c r="I49" s="15">
        <v>46295</v>
      </c>
      <c r="J49" s="15">
        <f t="shared" si="5"/>
        <v>21</v>
      </c>
      <c r="K49" s="15"/>
      <c r="L49" s="15"/>
      <c r="M49" s="15" t="s">
        <v>437</v>
      </c>
      <c r="N49" s="15" t="s">
        <v>537</v>
      </c>
      <c r="O49" s="15" t="s">
        <v>538</v>
      </c>
      <c r="P49" s="15"/>
    </row>
    <row r="50" spans="1:22" s="16" customFormat="1" x14ac:dyDescent="0.25">
      <c r="A50" s="15"/>
      <c r="B50" s="162">
        <v>45958</v>
      </c>
      <c r="C50" s="15"/>
      <c r="D50" s="15" t="s">
        <v>524</v>
      </c>
      <c r="E50" s="15"/>
      <c r="F50" s="93" t="s">
        <v>46</v>
      </c>
      <c r="G50" s="15" t="s">
        <v>45</v>
      </c>
      <c r="H50" s="15">
        <v>46295</v>
      </c>
      <c r="I50" s="15">
        <v>46319</v>
      </c>
      <c r="J50" s="15">
        <f t="shared" si="5"/>
        <v>24</v>
      </c>
      <c r="K50" s="15"/>
      <c r="L50" s="15"/>
      <c r="M50" s="15" t="s">
        <v>137</v>
      </c>
      <c r="N50" s="15" t="s">
        <v>42</v>
      </c>
      <c r="O50" s="15" t="s">
        <v>247</v>
      </c>
      <c r="P50" s="15"/>
    </row>
    <row r="51" spans="1:22" x14ac:dyDescent="0.25">
      <c r="A51" s="96"/>
      <c r="B51" s="162">
        <v>45961</v>
      </c>
      <c r="C51" s="15"/>
      <c r="D51" s="15" t="s">
        <v>524</v>
      </c>
      <c r="E51" s="15"/>
      <c r="F51" s="168" t="s">
        <v>46</v>
      </c>
      <c r="G51" s="151" t="s">
        <v>606</v>
      </c>
      <c r="H51" s="151">
        <v>46319</v>
      </c>
      <c r="I51" s="151">
        <v>46490</v>
      </c>
      <c r="J51" s="151">
        <f t="shared" si="5"/>
        <v>171</v>
      </c>
      <c r="M51" s="15" t="s">
        <v>137</v>
      </c>
      <c r="N51" s="151" t="s">
        <v>47</v>
      </c>
      <c r="O51" s="151" t="s">
        <v>19</v>
      </c>
    </row>
    <row r="52" spans="1:22" ht="15.75" x14ac:dyDescent="0.25">
      <c r="A52" s="126"/>
      <c r="B52" s="127"/>
      <c r="C52" s="128"/>
      <c r="D52" s="165"/>
      <c r="E52" s="129"/>
      <c r="F52" s="129"/>
      <c r="G52" s="129"/>
      <c r="H52" s="130"/>
      <c r="I52" s="126"/>
      <c r="J52" s="126"/>
      <c r="K52" s="131"/>
      <c r="L52" s="132"/>
      <c r="M52" s="133"/>
      <c r="N52" s="134"/>
      <c r="O52" s="126"/>
    </row>
    <row r="53" spans="1:22" ht="15.75" x14ac:dyDescent="0.25">
      <c r="A53" s="30"/>
      <c r="B53" s="80">
        <v>45983</v>
      </c>
      <c r="C53" s="30"/>
      <c r="D53" s="30" t="s">
        <v>524</v>
      </c>
      <c r="E53" s="30"/>
      <c r="F53" s="30" t="s">
        <v>58</v>
      </c>
      <c r="G53" s="30"/>
      <c r="H53" s="30">
        <v>46490</v>
      </c>
      <c r="I53" s="30">
        <v>46506</v>
      </c>
      <c r="J53" s="84">
        <f t="shared" ref="J53:J62" si="7">SUM(I53-H53)</f>
        <v>16</v>
      </c>
      <c r="K53" s="30"/>
      <c r="L53" s="30"/>
      <c r="M53" s="30" t="s">
        <v>137</v>
      </c>
      <c r="N53" s="15" t="s">
        <v>80</v>
      </c>
      <c r="O53" s="15" t="s">
        <v>221</v>
      </c>
    </row>
    <row r="54" spans="1:22" ht="15.75" x14ac:dyDescent="0.25">
      <c r="A54" s="30"/>
      <c r="B54" s="80">
        <v>45983</v>
      </c>
      <c r="C54" s="30"/>
      <c r="D54" s="30" t="s">
        <v>524</v>
      </c>
      <c r="E54" s="30"/>
      <c r="F54" s="30" t="s">
        <v>58</v>
      </c>
      <c r="G54" s="15" t="s">
        <v>716</v>
      </c>
      <c r="H54" s="15">
        <v>46507</v>
      </c>
      <c r="I54" s="15">
        <v>46577</v>
      </c>
      <c r="J54" s="84">
        <f t="shared" si="7"/>
        <v>70</v>
      </c>
      <c r="K54" s="30"/>
      <c r="L54" s="30"/>
      <c r="M54" s="30" t="s">
        <v>137</v>
      </c>
      <c r="N54" s="15" t="s">
        <v>37</v>
      </c>
      <c r="O54" s="15" t="s">
        <v>826</v>
      </c>
    </row>
    <row r="55" spans="1:22" ht="15.75" x14ac:dyDescent="0.25">
      <c r="A55" s="30"/>
      <c r="B55" s="80">
        <v>45990</v>
      </c>
      <c r="C55" s="30"/>
      <c r="D55" s="30" t="s">
        <v>524</v>
      </c>
      <c r="E55" s="30"/>
      <c r="F55" s="30" t="s">
        <v>58</v>
      </c>
      <c r="G55" s="15" t="s">
        <v>745</v>
      </c>
      <c r="H55" s="15">
        <v>46577</v>
      </c>
      <c r="I55" s="15">
        <v>46603</v>
      </c>
      <c r="J55" s="84">
        <f t="shared" si="7"/>
        <v>26</v>
      </c>
      <c r="K55" s="30"/>
      <c r="L55" s="30"/>
      <c r="M55" s="30" t="s">
        <v>746</v>
      </c>
      <c r="N55" s="30" t="s">
        <v>26</v>
      </c>
      <c r="O55" s="30" t="s">
        <v>825</v>
      </c>
    </row>
    <row r="56" spans="1:22" ht="15.75" x14ac:dyDescent="0.25">
      <c r="A56" s="30"/>
      <c r="B56" s="80">
        <v>45991</v>
      </c>
      <c r="C56" s="30"/>
      <c r="D56" s="30" t="s">
        <v>524</v>
      </c>
      <c r="E56" s="30"/>
      <c r="F56" s="30" t="s">
        <v>58</v>
      </c>
      <c r="G56" s="15" t="s">
        <v>748</v>
      </c>
      <c r="H56" s="15">
        <v>46603</v>
      </c>
      <c r="I56" s="15">
        <v>46716</v>
      </c>
      <c r="J56" s="84">
        <f t="shared" si="7"/>
        <v>113</v>
      </c>
      <c r="K56" s="30"/>
      <c r="L56" s="30"/>
      <c r="M56" s="30" t="s">
        <v>746</v>
      </c>
      <c r="N56" s="30" t="s">
        <v>487</v>
      </c>
      <c r="O56" s="30" t="s">
        <v>824</v>
      </c>
    </row>
    <row r="57" spans="1:22" ht="15.75" x14ac:dyDescent="0.25">
      <c r="A57" s="30"/>
      <c r="B57" s="80">
        <v>45995</v>
      </c>
      <c r="C57" s="30"/>
      <c r="D57" s="30" t="s">
        <v>524</v>
      </c>
      <c r="E57" s="30"/>
      <c r="F57" s="30" t="s">
        <v>58</v>
      </c>
      <c r="G57" s="15" t="s">
        <v>778</v>
      </c>
      <c r="H57" s="15">
        <v>46716</v>
      </c>
      <c r="I57" s="15">
        <v>46853</v>
      </c>
      <c r="J57" s="84">
        <f t="shared" si="7"/>
        <v>137</v>
      </c>
      <c r="K57" s="30"/>
      <c r="L57" s="30"/>
      <c r="M57" s="30" t="s">
        <v>137</v>
      </c>
      <c r="N57" s="91" t="s">
        <v>823</v>
      </c>
      <c r="O57" s="30" t="s">
        <v>822</v>
      </c>
    </row>
    <row r="58" spans="1:22" ht="15.75" x14ac:dyDescent="0.25">
      <c r="A58" s="30"/>
      <c r="B58" s="80">
        <v>45997</v>
      </c>
      <c r="C58" s="30"/>
      <c r="D58" s="30" t="s">
        <v>524</v>
      </c>
      <c r="E58" s="30"/>
      <c r="F58" s="30" t="s">
        <v>58</v>
      </c>
      <c r="G58" s="15" t="s">
        <v>810</v>
      </c>
      <c r="H58" s="15">
        <v>46853</v>
      </c>
      <c r="I58" s="15">
        <v>47380</v>
      </c>
      <c r="J58" s="84">
        <f t="shared" si="7"/>
        <v>527</v>
      </c>
      <c r="K58" s="30"/>
      <c r="L58" s="30"/>
      <c r="M58" s="30" t="s">
        <v>812</v>
      </c>
      <c r="N58" s="30" t="s">
        <v>821</v>
      </c>
      <c r="O58" s="30" t="s">
        <v>96</v>
      </c>
    </row>
    <row r="59" spans="1:22" ht="15.75" x14ac:dyDescent="0.25">
      <c r="A59" s="30"/>
      <c r="B59" s="80">
        <v>46012</v>
      </c>
      <c r="C59" s="30"/>
      <c r="D59" s="30" t="s">
        <v>524</v>
      </c>
      <c r="E59" s="30"/>
      <c r="F59" s="30" t="s">
        <v>58</v>
      </c>
      <c r="G59" s="15" t="s">
        <v>820</v>
      </c>
      <c r="H59" s="15">
        <v>47380</v>
      </c>
      <c r="I59" s="15">
        <v>47428</v>
      </c>
      <c r="J59" s="84">
        <f t="shared" si="7"/>
        <v>48</v>
      </c>
      <c r="K59" s="30"/>
      <c r="L59" s="30"/>
      <c r="M59" s="30" t="s">
        <v>812</v>
      </c>
      <c r="N59" s="30" t="s">
        <v>20</v>
      </c>
      <c r="O59" s="30" t="s">
        <v>715</v>
      </c>
    </row>
    <row r="60" spans="1:22" ht="15.75" x14ac:dyDescent="0.25">
      <c r="A60" s="30"/>
      <c r="B60" s="80">
        <v>46014</v>
      </c>
      <c r="C60" s="30"/>
      <c r="D60" s="30" t="s">
        <v>524</v>
      </c>
      <c r="E60" s="30"/>
      <c r="F60" s="30" t="s">
        <v>58</v>
      </c>
      <c r="G60" s="15" t="s">
        <v>863</v>
      </c>
      <c r="H60" s="15">
        <v>47428</v>
      </c>
      <c r="I60" s="15">
        <v>47527</v>
      </c>
      <c r="J60" s="84">
        <f t="shared" si="7"/>
        <v>99</v>
      </c>
      <c r="K60" s="30"/>
      <c r="L60" s="30"/>
      <c r="M60" s="30" t="s">
        <v>137</v>
      </c>
      <c r="N60" s="30" t="s">
        <v>321</v>
      </c>
      <c r="O60" s="30" t="s">
        <v>862</v>
      </c>
    </row>
    <row r="61" spans="1:22" ht="15.75" x14ac:dyDescent="0.25">
      <c r="A61" s="17"/>
      <c r="B61" s="80">
        <v>46022</v>
      </c>
      <c r="C61" s="30"/>
      <c r="D61" s="30" t="s">
        <v>524</v>
      </c>
      <c r="E61" s="30"/>
      <c r="F61" s="30" t="s">
        <v>58</v>
      </c>
      <c r="G61" s="15" t="s">
        <v>893</v>
      </c>
      <c r="H61" s="15">
        <v>47527</v>
      </c>
      <c r="I61" s="15">
        <v>47549</v>
      </c>
      <c r="J61" s="84">
        <f t="shared" si="7"/>
        <v>22</v>
      </c>
      <c r="K61" s="30"/>
      <c r="L61" s="30"/>
      <c r="M61" s="30" t="s">
        <v>704</v>
      </c>
      <c r="N61" s="30" t="s">
        <v>894</v>
      </c>
      <c r="O61" s="30" t="s">
        <v>895</v>
      </c>
    </row>
    <row r="62" spans="1:22" ht="15.75" x14ac:dyDescent="0.25">
      <c r="A62" s="93"/>
      <c r="B62" s="80">
        <v>46022</v>
      </c>
      <c r="C62" s="30"/>
      <c r="D62" s="30" t="s">
        <v>524</v>
      </c>
      <c r="E62" s="93"/>
      <c r="F62" s="30" t="s">
        <v>46</v>
      </c>
      <c r="G62" s="15" t="s">
        <v>892</v>
      </c>
      <c r="H62" s="15">
        <v>47549</v>
      </c>
      <c r="I62" s="15">
        <v>47573</v>
      </c>
      <c r="J62" s="84">
        <f t="shared" si="7"/>
        <v>24</v>
      </c>
      <c r="K62" s="30"/>
      <c r="L62" s="30"/>
      <c r="M62" s="30" t="s">
        <v>137</v>
      </c>
      <c r="N62" s="30" t="s">
        <v>65</v>
      </c>
      <c r="O62" s="30" t="s">
        <v>260</v>
      </c>
    </row>
    <row r="63" spans="1:22" ht="31.5" x14ac:dyDescent="0.25">
      <c r="A63" s="41" t="s">
        <v>148</v>
      </c>
      <c r="B63" s="42" t="s">
        <v>0</v>
      </c>
      <c r="C63" s="42" t="s">
        <v>206</v>
      </c>
      <c r="D63" s="43" t="s">
        <v>1</v>
      </c>
      <c r="E63" s="43" t="s">
        <v>2</v>
      </c>
      <c r="F63" s="43" t="s">
        <v>202</v>
      </c>
      <c r="G63" s="43" t="s">
        <v>4</v>
      </c>
      <c r="H63" s="59" t="s">
        <v>5</v>
      </c>
      <c r="I63" s="60" t="s">
        <v>6</v>
      </c>
      <c r="J63" s="60" t="s">
        <v>7</v>
      </c>
      <c r="K63" s="61" t="s">
        <v>203</v>
      </c>
      <c r="L63" s="62" t="s">
        <v>204</v>
      </c>
      <c r="M63" s="53" t="s">
        <v>10</v>
      </c>
      <c r="N63" s="54" t="s">
        <v>8</v>
      </c>
      <c r="O63" s="55"/>
      <c r="P63" s="56"/>
      <c r="Q63" s="56"/>
      <c r="R63" s="57"/>
      <c r="S63" s="58"/>
      <c r="T63" s="48"/>
      <c r="U63" s="46"/>
      <c r="V63" s="46"/>
    </row>
    <row r="64" spans="1:22" ht="18.75" customHeight="1" x14ac:dyDescent="0.25">
      <c r="A64" s="105"/>
      <c r="B64" s="80">
        <v>46030</v>
      </c>
      <c r="C64" s="81" t="s">
        <v>922</v>
      </c>
      <c r="D64" s="83"/>
      <c r="E64" s="100"/>
      <c r="F64" s="82" t="s">
        <v>923</v>
      </c>
      <c r="G64" s="83" t="s">
        <v>927</v>
      </c>
      <c r="H64" s="15">
        <v>47573</v>
      </c>
      <c r="I64" s="171">
        <v>47597</v>
      </c>
      <c r="J64" s="84">
        <f t="shared" ref="J64:J67" si="8">SUM(I64-H64)</f>
        <v>24</v>
      </c>
      <c r="K64" s="85"/>
      <c r="L64" s="86"/>
      <c r="M64" s="30" t="s">
        <v>137</v>
      </c>
      <c r="N64" s="88" t="s">
        <v>69</v>
      </c>
      <c r="O64" s="84" t="s">
        <v>928</v>
      </c>
      <c r="P64" s="89"/>
      <c r="Q64" s="89"/>
      <c r="R64" s="90"/>
      <c r="S64" s="82"/>
      <c r="T64" s="82"/>
      <c r="U64" s="79"/>
      <c r="V64" s="79"/>
    </row>
    <row r="65" spans="1:22" ht="18.75" customHeight="1" x14ac:dyDescent="0.25">
      <c r="A65" s="84"/>
      <c r="B65" s="80">
        <v>46032</v>
      </c>
      <c r="C65" s="81"/>
      <c r="D65" s="83"/>
      <c r="E65" s="100"/>
      <c r="F65" s="82" t="s">
        <v>58</v>
      </c>
      <c r="G65" s="83" t="s">
        <v>1014</v>
      </c>
      <c r="H65" s="15">
        <v>47597</v>
      </c>
      <c r="I65" s="171">
        <v>47678</v>
      </c>
      <c r="J65" s="84">
        <f t="shared" si="8"/>
        <v>81</v>
      </c>
      <c r="K65" s="85"/>
      <c r="L65" s="86"/>
      <c r="M65" s="30" t="s">
        <v>777</v>
      </c>
      <c r="N65" s="88"/>
      <c r="O65" s="84"/>
      <c r="P65" s="177"/>
      <c r="Q65" s="177"/>
      <c r="R65" s="178"/>
      <c r="S65" s="179"/>
      <c r="T65" s="179"/>
      <c r="U65" s="180"/>
      <c r="V65" s="180"/>
    </row>
    <row r="66" spans="1:22" ht="15.75" x14ac:dyDescent="0.25">
      <c r="A66" s="30"/>
      <c r="B66" s="80">
        <v>46046</v>
      </c>
      <c r="C66" s="30"/>
      <c r="D66" s="30"/>
      <c r="E66" s="30"/>
      <c r="F66" s="30" t="s">
        <v>58</v>
      </c>
      <c r="G66" s="176" t="s">
        <v>977</v>
      </c>
      <c r="H66" s="15">
        <v>47678</v>
      </c>
      <c r="I66" s="15">
        <v>47685</v>
      </c>
      <c r="J66" s="84">
        <f t="shared" si="8"/>
        <v>7</v>
      </c>
      <c r="K66" s="30"/>
      <c r="L66" s="30"/>
      <c r="M66" s="30" t="s">
        <v>777</v>
      </c>
      <c r="N66" s="30" t="s">
        <v>472</v>
      </c>
      <c r="O66" s="30" t="s">
        <v>37</v>
      </c>
    </row>
    <row r="67" spans="1:22" ht="15.75" x14ac:dyDescent="0.25">
      <c r="A67" s="30"/>
      <c r="B67" s="80">
        <v>46047</v>
      </c>
      <c r="C67" s="30"/>
      <c r="D67" s="30"/>
      <c r="E67" s="30"/>
      <c r="F67" s="82" t="s">
        <v>1013</v>
      </c>
      <c r="G67" s="30" t="s">
        <v>139</v>
      </c>
      <c r="H67" s="30">
        <v>47685</v>
      </c>
      <c r="I67" s="30">
        <v>47786</v>
      </c>
      <c r="J67" s="170">
        <f t="shared" si="8"/>
        <v>101</v>
      </c>
      <c r="K67" s="30"/>
      <c r="L67" s="30"/>
      <c r="M67" s="30" t="s">
        <v>777</v>
      </c>
      <c r="N67" s="30" t="s">
        <v>1003</v>
      </c>
      <c r="O67" s="30" t="s">
        <v>1004</v>
      </c>
    </row>
    <row r="68" spans="1:22" ht="31.5" x14ac:dyDescent="0.25">
      <c r="A68" s="41" t="s">
        <v>148</v>
      </c>
      <c r="B68" s="42" t="s">
        <v>0</v>
      </c>
      <c r="C68" s="42" t="s">
        <v>206</v>
      </c>
      <c r="D68" s="43" t="s">
        <v>1</v>
      </c>
      <c r="E68" s="43" t="s">
        <v>2</v>
      </c>
      <c r="F68" s="43" t="s">
        <v>202</v>
      </c>
      <c r="G68" s="43" t="s">
        <v>4</v>
      </c>
      <c r="H68" s="59" t="s">
        <v>5</v>
      </c>
      <c r="I68" s="60" t="s">
        <v>6</v>
      </c>
      <c r="J68" s="60" t="s">
        <v>7</v>
      </c>
      <c r="K68" s="61" t="s">
        <v>203</v>
      </c>
      <c r="L68" s="62" t="s">
        <v>204</v>
      </c>
      <c r="M68" s="53" t="s">
        <v>10</v>
      </c>
      <c r="N68" s="54" t="s">
        <v>8</v>
      </c>
      <c r="O68" s="55"/>
      <c r="P68" s="56"/>
      <c r="Q68" s="56"/>
      <c r="R68" s="57"/>
      <c r="S68" s="58"/>
      <c r="T68" s="48"/>
      <c r="U68" s="46"/>
      <c r="V68" s="46"/>
    </row>
    <row r="69" spans="1:22" ht="18.75" customHeight="1" x14ac:dyDescent="0.25">
      <c r="A69" s="84">
        <v>1</v>
      </c>
      <c r="B69" s="80">
        <v>46057</v>
      </c>
      <c r="C69" s="81" t="s">
        <v>1002</v>
      </c>
      <c r="D69" s="83"/>
      <c r="E69" s="100"/>
      <c r="F69" s="82" t="s">
        <v>336</v>
      </c>
      <c r="G69" s="83" t="s">
        <v>1001</v>
      </c>
      <c r="H69" s="15">
        <v>47786</v>
      </c>
      <c r="I69" s="171"/>
      <c r="J69" s="84">
        <f t="shared" ref="J69" si="9">SUM(I69-H69)</f>
        <v>-47786</v>
      </c>
      <c r="K69" s="85"/>
      <c r="L69" s="86"/>
      <c r="M69" s="30" t="s">
        <v>137</v>
      </c>
      <c r="N69" s="88" t="s">
        <v>69</v>
      </c>
      <c r="O69" s="84" t="s">
        <v>928</v>
      </c>
      <c r="P69" s="89"/>
      <c r="Q69" s="89"/>
      <c r="R69" s="90"/>
      <c r="S69" s="82"/>
      <c r="T69" s="82"/>
      <c r="U69" s="79"/>
      <c r="V69" s="79"/>
    </row>
  </sheetData>
  <phoneticPr fontId="4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4"/>
  <sheetViews>
    <sheetView tabSelected="1" topLeftCell="F13" workbookViewId="0">
      <selection activeCell="K27" sqref="K27"/>
    </sheetView>
  </sheetViews>
  <sheetFormatPr defaultRowHeight="15" x14ac:dyDescent="0.25"/>
  <cols>
    <col min="1" max="1" width="5.85546875" customWidth="1"/>
    <col min="2" max="2" width="10.42578125" bestFit="1" customWidth="1"/>
    <col min="3" max="3" width="10.140625" customWidth="1"/>
    <col min="4" max="4" width="22.7109375" bestFit="1" customWidth="1"/>
    <col min="5" max="5" width="14.5703125" customWidth="1"/>
    <col min="6" max="6" width="13.42578125" customWidth="1"/>
    <col min="7" max="7" width="60.42578125" customWidth="1"/>
    <col min="11" max="11" width="11.5703125" customWidth="1"/>
    <col min="13" max="13" width="17" bestFit="1" customWidth="1"/>
    <col min="16" max="16" width="10.42578125" bestFit="1" customWidth="1"/>
    <col min="17" max="18" width="11.85546875" bestFit="1" customWidth="1"/>
    <col min="21" max="21" width="14.140625" customWidth="1"/>
    <col min="22" max="22" width="37.42578125" customWidth="1"/>
  </cols>
  <sheetData>
    <row r="1" spans="1:23" ht="47.25" x14ac:dyDescent="0.25">
      <c r="A1" s="41" t="s">
        <v>148</v>
      </c>
      <c r="B1" s="42" t="s">
        <v>0</v>
      </c>
      <c r="C1" s="42" t="s">
        <v>206</v>
      </c>
      <c r="D1" s="43" t="s">
        <v>1</v>
      </c>
      <c r="E1" s="43" t="s">
        <v>2</v>
      </c>
      <c r="F1" s="43" t="s">
        <v>202</v>
      </c>
      <c r="G1" s="43" t="s">
        <v>4</v>
      </c>
      <c r="H1" s="59" t="s">
        <v>5</v>
      </c>
      <c r="I1" s="60" t="s">
        <v>6</v>
      </c>
      <c r="J1" s="60" t="s">
        <v>7</v>
      </c>
      <c r="K1" s="61" t="s">
        <v>203</v>
      </c>
      <c r="L1" s="62" t="s">
        <v>204</v>
      </c>
      <c r="M1" s="53" t="s">
        <v>10</v>
      </c>
      <c r="N1" s="54" t="s">
        <v>8</v>
      </c>
      <c r="O1" s="55" t="s">
        <v>9</v>
      </c>
      <c r="P1" s="56" t="s">
        <v>11</v>
      </c>
      <c r="Q1" s="56" t="s">
        <v>205</v>
      </c>
      <c r="R1" s="57" t="s">
        <v>147</v>
      </c>
      <c r="S1" s="58" t="s">
        <v>12</v>
      </c>
      <c r="T1" s="48" t="s">
        <v>14</v>
      </c>
      <c r="U1" s="46" t="s">
        <v>149</v>
      </c>
      <c r="V1" s="46" t="s">
        <v>15</v>
      </c>
    </row>
    <row r="2" spans="1:23" ht="15.75" x14ac:dyDescent="0.25">
      <c r="A2" s="17">
        <v>1</v>
      </c>
      <c r="B2" s="44">
        <v>45851</v>
      </c>
      <c r="C2" s="44" t="s">
        <v>207</v>
      </c>
      <c r="D2" s="17" t="s">
        <v>240</v>
      </c>
      <c r="E2" s="17"/>
      <c r="F2" s="17" t="s">
        <v>58</v>
      </c>
      <c r="G2" s="17" t="s">
        <v>229</v>
      </c>
      <c r="H2" s="63">
        <v>67640</v>
      </c>
      <c r="I2" s="63">
        <v>67731</v>
      </c>
      <c r="J2" s="45">
        <f>I2-H2</f>
        <v>91</v>
      </c>
      <c r="K2" s="64"/>
      <c r="L2" s="65">
        <f>J2*K2</f>
        <v>0</v>
      </c>
      <c r="M2" s="52" t="s">
        <v>137</v>
      </c>
      <c r="N2" s="49" t="s">
        <v>230</v>
      </c>
      <c r="O2" s="49" t="s">
        <v>231</v>
      </c>
      <c r="P2" s="50"/>
      <c r="Q2" s="50" t="e">
        <f>(O2-N2)*24</f>
        <v>#VALUE!</v>
      </c>
      <c r="R2" s="51" t="e">
        <f>P2*Q2</f>
        <v>#VALUE!</v>
      </c>
      <c r="S2" s="52"/>
      <c r="T2" s="34" t="e">
        <f>SUM(L2+R2+S2)</f>
        <v>#VALUE!</v>
      </c>
      <c r="U2" s="17"/>
      <c r="V2" s="17"/>
      <c r="W2" s="20"/>
    </row>
    <row r="3" spans="1:23" ht="15.75" x14ac:dyDescent="0.25">
      <c r="A3" s="30"/>
      <c r="B3" s="44">
        <v>45867</v>
      </c>
      <c r="C3" s="30"/>
      <c r="D3" s="30" t="s">
        <v>46</v>
      </c>
      <c r="E3" s="30"/>
      <c r="F3" s="30" t="s">
        <v>46</v>
      </c>
      <c r="G3" s="30" t="s">
        <v>296</v>
      </c>
      <c r="H3" s="63">
        <v>706</v>
      </c>
      <c r="I3" s="63">
        <v>722</v>
      </c>
      <c r="J3" s="45">
        <f>I3-H3</f>
        <v>16</v>
      </c>
      <c r="K3" s="64"/>
      <c r="L3" s="65">
        <f>J3*K3</f>
        <v>0</v>
      </c>
      <c r="M3" s="52" t="s">
        <v>137</v>
      </c>
      <c r="N3" s="52" t="s">
        <v>295</v>
      </c>
      <c r="O3" s="52"/>
      <c r="P3" s="50">
        <v>0</v>
      </c>
      <c r="Q3" s="50">
        <v>0</v>
      </c>
      <c r="R3" s="51">
        <f>P3*Q3</f>
        <v>0</v>
      </c>
      <c r="S3" s="52"/>
      <c r="T3" s="47">
        <f>SUM(L3+R3)</f>
        <v>0</v>
      </c>
      <c r="U3" s="30"/>
      <c r="V3" s="30"/>
    </row>
    <row r="4" spans="1:23" ht="15.75" x14ac:dyDescent="0.25">
      <c r="A4" s="30"/>
      <c r="B4" s="44">
        <v>45979</v>
      </c>
      <c r="C4" s="17" t="s">
        <v>699</v>
      </c>
      <c r="D4" s="17" t="s">
        <v>700</v>
      </c>
      <c r="E4" s="17"/>
      <c r="F4" s="17" t="s">
        <v>390</v>
      </c>
      <c r="G4" s="17" t="s">
        <v>701</v>
      </c>
      <c r="H4" s="63">
        <v>8538</v>
      </c>
      <c r="I4" s="63">
        <v>8540</v>
      </c>
      <c r="J4" s="45">
        <f>I4-H4</f>
        <v>2</v>
      </c>
      <c r="K4" s="64"/>
      <c r="L4" s="65">
        <f>J4*K4</f>
        <v>0</v>
      </c>
      <c r="M4" s="52" t="s">
        <v>137</v>
      </c>
      <c r="N4" s="52" t="s">
        <v>330</v>
      </c>
      <c r="O4" s="52" t="s">
        <v>127</v>
      </c>
      <c r="P4" s="52"/>
      <c r="Q4" s="52"/>
      <c r="R4" s="52"/>
      <c r="S4" s="52"/>
      <c r="T4" s="30"/>
      <c r="U4" s="30"/>
      <c r="V4" s="30"/>
    </row>
    <row r="5" spans="1:23" x14ac:dyDescent="0.25">
      <c r="A5" s="30"/>
      <c r="B5" s="44">
        <v>45982</v>
      </c>
      <c r="C5" s="30"/>
      <c r="D5" s="17" t="s">
        <v>700</v>
      </c>
      <c r="E5" s="30"/>
      <c r="F5" s="17" t="s">
        <v>390</v>
      </c>
      <c r="G5" s="30" t="s">
        <v>258</v>
      </c>
      <c r="H5" s="63">
        <v>8541</v>
      </c>
      <c r="I5" s="63">
        <v>1296</v>
      </c>
      <c r="J5" s="63"/>
      <c r="K5" s="63"/>
      <c r="L5" s="63"/>
      <c r="M5" s="52" t="s">
        <v>137</v>
      </c>
      <c r="N5" s="52" t="s">
        <v>466</v>
      </c>
      <c r="O5" s="52"/>
      <c r="P5" s="52"/>
      <c r="Q5" s="52"/>
      <c r="R5" s="52"/>
      <c r="S5" s="52"/>
      <c r="T5" s="30"/>
      <c r="U5" s="30"/>
      <c r="V5" s="30"/>
    </row>
    <row r="6" spans="1:23" x14ac:dyDescent="0.25">
      <c r="A6" s="30"/>
      <c r="B6" s="30"/>
      <c r="C6" s="30"/>
      <c r="D6" s="30"/>
      <c r="E6" s="30"/>
      <c r="F6" s="30"/>
      <c r="G6" s="30"/>
      <c r="H6" s="63"/>
      <c r="I6" s="63"/>
      <c r="J6" s="63"/>
      <c r="K6" s="63"/>
      <c r="L6" s="63"/>
      <c r="M6" s="52"/>
      <c r="N6" s="52"/>
      <c r="O6" s="52"/>
      <c r="P6" s="52"/>
      <c r="Q6" s="52"/>
      <c r="R6" s="52"/>
      <c r="S6" s="52"/>
      <c r="T6" s="30"/>
      <c r="U6" s="30"/>
      <c r="V6" s="30"/>
    </row>
    <row r="8" spans="1:23" ht="47.25" x14ac:dyDescent="0.25">
      <c r="A8" s="41" t="s">
        <v>148</v>
      </c>
      <c r="B8" s="42" t="s">
        <v>0</v>
      </c>
      <c r="C8" s="42" t="s">
        <v>206</v>
      </c>
      <c r="D8" s="43" t="s">
        <v>1</v>
      </c>
      <c r="E8" s="43" t="s">
        <v>2</v>
      </c>
      <c r="F8" s="43" t="s">
        <v>202</v>
      </c>
      <c r="G8" s="43" t="s">
        <v>4</v>
      </c>
      <c r="H8" s="59" t="s">
        <v>5</v>
      </c>
      <c r="I8" s="60" t="s">
        <v>6</v>
      </c>
      <c r="J8" s="60" t="s">
        <v>7</v>
      </c>
      <c r="K8" s="61" t="s">
        <v>203</v>
      </c>
      <c r="L8" s="62" t="s">
        <v>204</v>
      </c>
      <c r="M8" s="53" t="s">
        <v>10</v>
      </c>
      <c r="N8" s="54" t="s">
        <v>8</v>
      </c>
      <c r="O8" s="55" t="s">
        <v>9</v>
      </c>
      <c r="P8" s="56" t="s">
        <v>11</v>
      </c>
      <c r="Q8" s="56" t="s">
        <v>205</v>
      </c>
      <c r="R8" s="57" t="s">
        <v>147</v>
      </c>
      <c r="S8" s="58" t="s">
        <v>12</v>
      </c>
      <c r="T8" s="48" t="s">
        <v>14</v>
      </c>
      <c r="U8" s="46" t="s">
        <v>149</v>
      </c>
      <c r="V8" s="46" t="s">
        <v>15</v>
      </c>
    </row>
    <row r="9" spans="1:23" ht="15.75" x14ac:dyDescent="0.25">
      <c r="A9" s="17">
        <v>1</v>
      </c>
      <c r="B9" s="63">
        <v>1296</v>
      </c>
      <c r="C9" s="44" t="s">
        <v>750</v>
      </c>
      <c r="D9" s="17" t="s">
        <v>859</v>
      </c>
      <c r="E9" s="17"/>
      <c r="F9" s="17" t="s">
        <v>58</v>
      </c>
      <c r="G9" s="17" t="s">
        <v>845</v>
      </c>
      <c r="H9" s="63">
        <v>1296</v>
      </c>
      <c r="I9" s="63">
        <v>1440</v>
      </c>
      <c r="J9" s="45">
        <v>144</v>
      </c>
      <c r="K9" s="64"/>
      <c r="L9" s="65">
        <f>J9*K9</f>
        <v>0</v>
      </c>
      <c r="M9" s="52" t="s">
        <v>137</v>
      </c>
      <c r="N9" s="49" t="s">
        <v>472</v>
      </c>
      <c r="O9" s="49" t="s">
        <v>828</v>
      </c>
      <c r="P9" s="50"/>
      <c r="Q9" s="50" t="e">
        <f>(O9-N9)*24</f>
        <v>#VALUE!</v>
      </c>
      <c r="R9" s="51" t="e">
        <f>P9*Q9</f>
        <v>#VALUE!</v>
      </c>
      <c r="S9" s="52"/>
      <c r="T9" s="34" t="e">
        <f>SUM(L9+R9+S9)</f>
        <v>#VALUE!</v>
      </c>
      <c r="U9" s="17"/>
      <c r="V9" s="17"/>
    </row>
    <row r="10" spans="1:23" x14ac:dyDescent="0.25">
      <c r="A10" s="30"/>
      <c r="B10" s="44">
        <v>46016</v>
      </c>
      <c r="C10" s="30"/>
      <c r="D10" s="30" t="s">
        <v>391</v>
      </c>
      <c r="E10" s="30"/>
      <c r="F10" s="17" t="s">
        <v>58</v>
      </c>
      <c r="G10" s="30" t="s">
        <v>861</v>
      </c>
      <c r="H10" s="30">
        <v>1440</v>
      </c>
      <c r="I10" s="30">
        <v>1539</v>
      </c>
      <c r="J10" s="170">
        <f>I10-H10</f>
        <v>99</v>
      </c>
      <c r="K10" s="30"/>
      <c r="L10" s="170">
        <v>0</v>
      </c>
      <c r="M10" s="52" t="s">
        <v>137</v>
      </c>
      <c r="N10" s="49" t="s">
        <v>472</v>
      </c>
      <c r="O10" s="30" t="s">
        <v>860</v>
      </c>
      <c r="P10" s="30"/>
      <c r="Q10" s="30"/>
      <c r="R10" s="30"/>
      <c r="S10" s="30"/>
      <c r="T10" s="30"/>
      <c r="U10" s="30"/>
      <c r="V10" s="30"/>
    </row>
    <row r="11" spans="1:23" x14ac:dyDescent="0.25">
      <c r="A11" s="30"/>
      <c r="B11" s="44">
        <v>46018</v>
      </c>
      <c r="C11" s="30"/>
      <c r="D11" s="30" t="s">
        <v>867</v>
      </c>
      <c r="E11" s="30"/>
      <c r="F11" s="17" t="s">
        <v>58</v>
      </c>
      <c r="G11" s="30" t="s">
        <v>868</v>
      </c>
      <c r="H11" s="30">
        <v>1539</v>
      </c>
      <c r="I11" s="30">
        <v>1543</v>
      </c>
      <c r="J11" s="170">
        <f>I11-H11</f>
        <v>4</v>
      </c>
      <c r="K11" s="30"/>
      <c r="L11" s="30"/>
      <c r="M11" s="52" t="s">
        <v>137</v>
      </c>
      <c r="N11" s="30" t="s">
        <v>26</v>
      </c>
      <c r="O11" s="30" t="s">
        <v>199</v>
      </c>
      <c r="P11" s="30"/>
      <c r="Q11" s="30"/>
      <c r="R11" s="30"/>
      <c r="S11" s="30"/>
      <c r="T11" s="30"/>
      <c r="U11" s="30"/>
      <c r="V11" s="30"/>
    </row>
    <row r="12" spans="1:23" x14ac:dyDescent="0.25">
      <c r="A12" s="30"/>
      <c r="B12" s="44">
        <v>46019</v>
      </c>
      <c r="C12" s="30"/>
      <c r="D12" s="30" t="s">
        <v>391</v>
      </c>
      <c r="E12" s="30"/>
      <c r="F12" s="17" t="s">
        <v>58</v>
      </c>
      <c r="G12" s="30" t="s">
        <v>869</v>
      </c>
      <c r="H12" s="30">
        <v>1543</v>
      </c>
      <c r="I12" s="30">
        <v>1625</v>
      </c>
      <c r="J12" s="170">
        <f>I12-H12</f>
        <v>82</v>
      </c>
      <c r="K12" s="30"/>
      <c r="L12" s="30"/>
      <c r="M12" s="52" t="s">
        <v>137</v>
      </c>
      <c r="N12" s="30"/>
      <c r="O12" s="30" t="s">
        <v>708</v>
      </c>
      <c r="P12" s="30"/>
      <c r="Q12" s="30"/>
      <c r="R12" s="30"/>
      <c r="S12" s="30"/>
      <c r="T12" s="30"/>
      <c r="U12" s="30"/>
      <c r="V12" s="30"/>
    </row>
    <row r="13" spans="1:23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</row>
    <row r="14" spans="1:23" ht="47.25" x14ac:dyDescent="0.25">
      <c r="A14" s="41" t="s">
        <v>148</v>
      </c>
      <c r="B14" s="42" t="s">
        <v>0</v>
      </c>
      <c r="C14" s="42" t="s">
        <v>206</v>
      </c>
      <c r="D14" s="43" t="s">
        <v>1</v>
      </c>
      <c r="E14" s="43" t="s">
        <v>2</v>
      </c>
      <c r="F14" s="43" t="s">
        <v>202</v>
      </c>
      <c r="G14" s="43" t="s">
        <v>4</v>
      </c>
      <c r="H14" s="59" t="s">
        <v>5</v>
      </c>
      <c r="I14" s="60" t="s">
        <v>6</v>
      </c>
      <c r="J14" s="60" t="s">
        <v>7</v>
      </c>
      <c r="K14" s="61" t="s">
        <v>203</v>
      </c>
      <c r="L14" s="62" t="s">
        <v>204</v>
      </c>
      <c r="M14" s="53" t="s">
        <v>10</v>
      </c>
      <c r="N14" s="54" t="s">
        <v>8</v>
      </c>
      <c r="O14" s="55" t="s">
        <v>9</v>
      </c>
      <c r="P14" s="56" t="s">
        <v>11</v>
      </c>
      <c r="Q14" s="56" t="s">
        <v>205</v>
      </c>
      <c r="R14" s="57" t="s">
        <v>147</v>
      </c>
      <c r="S14" s="58" t="s">
        <v>12</v>
      </c>
      <c r="T14" s="48" t="s">
        <v>14</v>
      </c>
      <c r="U14" s="46" t="s">
        <v>149</v>
      </c>
      <c r="V14" s="46" t="s">
        <v>15</v>
      </c>
    </row>
    <row r="15" spans="1:23" x14ac:dyDescent="0.25">
      <c r="A15" s="30"/>
      <c r="B15" s="44">
        <v>46024</v>
      </c>
      <c r="C15" s="30"/>
      <c r="D15" s="17" t="s">
        <v>700</v>
      </c>
      <c r="E15" s="30"/>
      <c r="F15" s="17" t="s">
        <v>58</v>
      </c>
      <c r="G15" s="30" t="s">
        <v>258</v>
      </c>
      <c r="H15" s="30">
        <v>1626</v>
      </c>
      <c r="I15" s="30">
        <v>1721</v>
      </c>
      <c r="J15" s="30">
        <v>95</v>
      </c>
      <c r="K15" s="30"/>
      <c r="L15" s="30"/>
      <c r="M15" s="52" t="s">
        <v>137</v>
      </c>
      <c r="N15" s="30" t="s">
        <v>167</v>
      </c>
      <c r="O15" s="30" t="s">
        <v>427</v>
      </c>
      <c r="P15" s="30"/>
      <c r="Q15" s="30"/>
      <c r="R15" s="30"/>
      <c r="S15" s="30"/>
      <c r="T15" s="30"/>
      <c r="U15" s="30"/>
      <c r="V15" s="30"/>
    </row>
    <row r="16" spans="1:23" x14ac:dyDescent="0.25">
      <c r="B16" s="44">
        <v>46024</v>
      </c>
      <c r="D16" s="110" t="s">
        <v>933</v>
      </c>
      <c r="F16" s="17" t="s">
        <v>58</v>
      </c>
      <c r="G16" s="110" t="s">
        <v>934</v>
      </c>
      <c r="H16" s="110">
        <v>1721</v>
      </c>
      <c r="I16" s="110">
        <v>1749</v>
      </c>
      <c r="J16" s="30">
        <v>28</v>
      </c>
      <c r="M16" s="52" t="s">
        <v>137</v>
      </c>
    </row>
    <row r="17" spans="1:16" x14ac:dyDescent="0.25">
      <c r="B17" s="172">
        <v>46038</v>
      </c>
      <c r="D17" s="110" t="s">
        <v>947</v>
      </c>
      <c r="F17" s="17" t="s">
        <v>58</v>
      </c>
      <c r="G17" s="110" t="s">
        <v>1032</v>
      </c>
      <c r="H17" s="110">
        <v>1749</v>
      </c>
      <c r="I17" s="110">
        <v>2252</v>
      </c>
      <c r="J17" s="30">
        <f>I17-H17</f>
        <v>503</v>
      </c>
      <c r="M17" s="174" t="s">
        <v>777</v>
      </c>
      <c r="N17" t="s">
        <v>531</v>
      </c>
      <c r="O17" t="s">
        <v>956</v>
      </c>
      <c r="P17" s="172">
        <v>46040</v>
      </c>
    </row>
    <row r="18" spans="1:16" x14ac:dyDescent="0.25">
      <c r="B18" s="172">
        <v>46049</v>
      </c>
      <c r="D18" s="110" t="s">
        <v>947</v>
      </c>
      <c r="F18" s="17" t="s">
        <v>58</v>
      </c>
      <c r="G18" s="110" t="s">
        <v>258</v>
      </c>
      <c r="H18" s="110">
        <v>2253</v>
      </c>
      <c r="I18" s="110">
        <v>2346</v>
      </c>
      <c r="J18" s="30">
        <f>I18-H18</f>
        <v>93</v>
      </c>
      <c r="M18" s="174" t="s">
        <v>878</v>
      </c>
      <c r="N18" t="s">
        <v>218</v>
      </c>
      <c r="O18" t="s">
        <v>426</v>
      </c>
    </row>
    <row r="19" spans="1:16" x14ac:dyDescent="0.25">
      <c r="B19" s="172">
        <v>46049</v>
      </c>
      <c r="D19" s="110" t="s">
        <v>947</v>
      </c>
      <c r="F19" s="17" t="s">
        <v>58</v>
      </c>
      <c r="G19" s="110" t="s">
        <v>977</v>
      </c>
      <c r="H19" s="110">
        <v>2346</v>
      </c>
      <c r="I19" s="110">
        <v>2353</v>
      </c>
      <c r="J19" s="30">
        <f>I19-H19</f>
        <v>7</v>
      </c>
      <c r="M19" s="174" t="s">
        <v>777</v>
      </c>
      <c r="N19" t="s">
        <v>65</v>
      </c>
      <c r="O19" t="s">
        <v>985</v>
      </c>
    </row>
    <row r="20" spans="1:16" x14ac:dyDescent="0.25">
      <c r="B20" s="172">
        <v>46050</v>
      </c>
      <c r="D20" s="110" t="s">
        <v>947</v>
      </c>
      <c r="F20" s="17" t="s">
        <v>58</v>
      </c>
      <c r="G20" s="110" t="s">
        <v>986</v>
      </c>
      <c r="H20" s="110">
        <v>2353</v>
      </c>
      <c r="I20" s="110">
        <v>2880</v>
      </c>
      <c r="J20" s="30">
        <f>I20-H20</f>
        <v>527</v>
      </c>
      <c r="M20" s="174" t="s">
        <v>777</v>
      </c>
      <c r="N20" t="s">
        <v>38</v>
      </c>
    </row>
    <row r="21" spans="1:16" ht="31.5" x14ac:dyDescent="0.25">
      <c r="A21" s="41" t="s">
        <v>148</v>
      </c>
      <c r="B21" s="141" t="s">
        <v>0</v>
      </c>
      <c r="C21" s="42" t="s">
        <v>206</v>
      </c>
      <c r="D21" s="43" t="s">
        <v>1</v>
      </c>
      <c r="E21" s="43" t="s">
        <v>2</v>
      </c>
      <c r="F21" s="43" t="s">
        <v>202</v>
      </c>
      <c r="G21" s="43" t="s">
        <v>4</v>
      </c>
      <c r="H21" s="59" t="s">
        <v>5</v>
      </c>
      <c r="I21" s="60" t="s">
        <v>6</v>
      </c>
      <c r="J21" s="60" t="s">
        <v>7</v>
      </c>
      <c r="K21" s="61" t="s">
        <v>203</v>
      </c>
      <c r="L21" s="62" t="s">
        <v>204</v>
      </c>
      <c r="M21" s="53" t="s">
        <v>10</v>
      </c>
      <c r="N21" s="54" t="s">
        <v>8</v>
      </c>
      <c r="O21" s="55" t="s">
        <v>9</v>
      </c>
      <c r="P21" s="56" t="s">
        <v>11</v>
      </c>
    </row>
    <row r="22" spans="1:16" x14ac:dyDescent="0.25">
      <c r="A22" s="17"/>
      <c r="B22" s="142" t="s">
        <v>993</v>
      </c>
      <c r="C22" s="30"/>
      <c r="D22" s="30" t="s">
        <v>994</v>
      </c>
      <c r="E22" s="30"/>
      <c r="F22" s="17" t="s">
        <v>336</v>
      </c>
      <c r="G22" s="30" t="s">
        <v>995</v>
      </c>
      <c r="H22" s="30">
        <v>2881</v>
      </c>
      <c r="I22" s="30">
        <v>3000</v>
      </c>
      <c r="J22" s="30">
        <v>120</v>
      </c>
      <c r="K22" s="17"/>
      <c r="L22" s="30">
        <f t="shared" ref="L22" si="0">J22*K22</f>
        <v>0</v>
      </c>
      <c r="M22" s="17" t="s">
        <v>777</v>
      </c>
      <c r="N22" s="30" t="s">
        <v>289</v>
      </c>
      <c r="O22" s="30" t="s">
        <v>350</v>
      </c>
      <c r="P22" s="30"/>
    </row>
    <row r="23" spans="1:16" x14ac:dyDescent="0.25">
      <c r="A23" s="30"/>
      <c r="B23" s="142" t="s">
        <v>1015</v>
      </c>
      <c r="C23" s="30"/>
      <c r="D23" s="30" t="s">
        <v>1016</v>
      </c>
      <c r="E23" s="30"/>
      <c r="F23" s="17" t="s">
        <v>336</v>
      </c>
      <c r="G23" s="30" t="s">
        <v>1017</v>
      </c>
      <c r="H23" s="30">
        <v>3001</v>
      </c>
      <c r="I23" s="30">
        <v>3098</v>
      </c>
      <c r="J23" s="30">
        <f>I23-H23</f>
        <v>97</v>
      </c>
      <c r="K23" s="30"/>
      <c r="L23" s="30"/>
      <c r="M23" s="52" t="s">
        <v>137</v>
      </c>
      <c r="N23" s="30" t="s">
        <v>827</v>
      </c>
      <c r="O23" s="30" t="s">
        <v>426</v>
      </c>
      <c r="P23" s="30"/>
    </row>
    <row r="24" spans="1:16" x14ac:dyDescent="0.25">
      <c r="A24" s="30"/>
      <c r="B24" s="142" t="s">
        <v>1040</v>
      </c>
      <c r="C24" s="30"/>
      <c r="D24" s="30" t="s">
        <v>994</v>
      </c>
      <c r="E24" s="30"/>
      <c r="F24" s="17" t="s">
        <v>336</v>
      </c>
      <c r="G24" s="30" t="s">
        <v>1043</v>
      </c>
      <c r="H24" s="30">
        <v>3098</v>
      </c>
      <c r="I24" s="30">
        <v>3259</v>
      </c>
      <c r="J24" s="30">
        <f>I24-H24</f>
        <v>161</v>
      </c>
      <c r="K24" s="30"/>
      <c r="L24" s="30"/>
      <c r="M24" s="52" t="s">
        <v>137</v>
      </c>
      <c r="N24" s="30" t="s">
        <v>1044</v>
      </c>
      <c r="O24" s="30"/>
      <c r="P24" s="3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"/>
  <sheetViews>
    <sheetView workbookViewId="0">
      <selection activeCell="C4" sqref="C4"/>
    </sheetView>
  </sheetViews>
  <sheetFormatPr defaultRowHeight="15" x14ac:dyDescent="0.25"/>
  <cols>
    <col min="2" max="2" width="10.42578125" bestFit="1" customWidth="1"/>
    <col min="4" max="4" width="14" bestFit="1" customWidth="1"/>
    <col min="7" max="7" width="24.42578125" bestFit="1" customWidth="1"/>
  </cols>
  <sheetData>
    <row r="1" spans="1:22" ht="47.25" x14ac:dyDescent="0.25">
      <c r="A1" s="41" t="s">
        <v>148</v>
      </c>
      <c r="B1" s="42" t="s">
        <v>0</v>
      </c>
      <c r="C1" s="42" t="s">
        <v>206</v>
      </c>
      <c r="D1" s="43" t="s">
        <v>1</v>
      </c>
      <c r="E1" s="43" t="s">
        <v>2</v>
      </c>
      <c r="F1" s="43" t="s">
        <v>202</v>
      </c>
      <c r="G1" s="43" t="s">
        <v>4</v>
      </c>
      <c r="H1" s="59" t="s">
        <v>5</v>
      </c>
      <c r="I1" s="60" t="s">
        <v>6</v>
      </c>
      <c r="J1" s="60" t="s">
        <v>7</v>
      </c>
      <c r="K1" s="61" t="s">
        <v>203</v>
      </c>
      <c r="L1" s="62" t="s">
        <v>204</v>
      </c>
      <c r="M1" s="53" t="s">
        <v>10</v>
      </c>
      <c r="N1" s="54" t="s">
        <v>8</v>
      </c>
      <c r="O1" s="55" t="s">
        <v>9</v>
      </c>
      <c r="P1" s="56" t="s">
        <v>11</v>
      </c>
      <c r="Q1" s="56" t="s">
        <v>205</v>
      </c>
      <c r="R1" s="57" t="s">
        <v>147</v>
      </c>
      <c r="S1" s="58" t="s">
        <v>12</v>
      </c>
      <c r="T1" s="48" t="s">
        <v>14</v>
      </c>
      <c r="U1" s="46" t="s">
        <v>149</v>
      </c>
      <c r="V1" s="46" t="s">
        <v>15</v>
      </c>
    </row>
    <row r="2" spans="1:22" x14ac:dyDescent="0.25">
      <c r="B2" s="172">
        <v>46034</v>
      </c>
      <c r="C2" t="s">
        <v>922</v>
      </c>
      <c r="D2" t="s">
        <v>243</v>
      </c>
      <c r="F2" t="s">
        <v>336</v>
      </c>
      <c r="G2" t="s">
        <v>935</v>
      </c>
      <c r="H2">
        <v>65245</v>
      </c>
      <c r="I2">
        <v>65256</v>
      </c>
      <c r="J2">
        <f>I2-H2</f>
        <v>11</v>
      </c>
      <c r="N2" t="s">
        <v>56</v>
      </c>
      <c r="O2" t="s">
        <v>36</v>
      </c>
    </row>
    <row r="3" spans="1:22" x14ac:dyDescent="0.25">
      <c r="B3" s="172">
        <v>46042</v>
      </c>
      <c r="D3" t="s">
        <v>243</v>
      </c>
      <c r="F3" t="s">
        <v>336</v>
      </c>
      <c r="G3" t="s">
        <v>22</v>
      </c>
      <c r="H3">
        <v>65288</v>
      </c>
      <c r="I3">
        <v>65290</v>
      </c>
      <c r="J3">
        <f>I3-H3</f>
        <v>2</v>
      </c>
    </row>
    <row r="4" spans="1:22" x14ac:dyDescent="0.25">
      <c r="B4" s="172">
        <v>46049</v>
      </c>
      <c r="H4">
        <v>65290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Garuda APR + May-25</vt:lpstr>
      <vt:lpstr>Garuda June-25</vt:lpstr>
      <vt:lpstr>Garuda</vt:lpstr>
      <vt:lpstr>Prabhuda Kripa</vt:lpstr>
      <vt:lpstr>Jai Jagannath</vt:lpstr>
      <vt:lpstr>Narada 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2026-02-16T03:51:58Z</dcterms:modified>
</cp:coreProperties>
</file>