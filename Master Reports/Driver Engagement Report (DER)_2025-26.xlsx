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JD NVCC\Documents\Documents 2025-26\Master Reports\"/>
    </mc:Choice>
  </mc:AlternateContent>
  <bookViews>
    <workbookView xWindow="0" yWindow="0" windowWidth="20490" windowHeight="7755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" i="1" l="1"/>
  <c r="I8" i="1"/>
  <c r="I9" i="1"/>
  <c r="I10" i="1"/>
  <c r="I11" i="1"/>
  <c r="I3" i="1"/>
  <c r="I4" i="1"/>
  <c r="I5" i="1"/>
  <c r="I6" i="1"/>
  <c r="I27" i="1" l="1"/>
  <c r="J27" i="1" s="1"/>
  <c r="I26" i="1"/>
  <c r="J26" i="1" s="1"/>
  <c r="I25" i="1"/>
  <c r="J25" i="1" s="1"/>
  <c r="I22" i="1"/>
  <c r="J22" i="1" s="1"/>
  <c r="I21" i="1"/>
  <c r="J21" i="1" s="1"/>
  <c r="I2" i="1"/>
  <c r="I24" i="1"/>
  <c r="J24" i="1" s="1"/>
  <c r="I23" i="1"/>
  <c r="J23" i="1" s="1"/>
  <c r="J3" i="1"/>
  <c r="J4" i="1"/>
  <c r="J5" i="1"/>
  <c r="J6" i="1"/>
  <c r="J7" i="1"/>
  <c r="J8" i="1"/>
  <c r="J9" i="1"/>
  <c r="J10" i="1"/>
  <c r="J11" i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J2" i="1" l="1"/>
</calcChain>
</file>

<file path=xl/sharedStrings.xml><?xml version="1.0" encoding="utf-8"?>
<sst xmlns="http://schemas.openxmlformats.org/spreadsheetml/2006/main" count="84" uniqueCount="41">
  <si>
    <t>Sr.No</t>
  </si>
  <si>
    <t>Date</t>
  </si>
  <si>
    <t>Day</t>
  </si>
  <si>
    <t>Service Undertaken</t>
  </si>
  <si>
    <t>Dept. Name</t>
  </si>
  <si>
    <t>Time Out</t>
  </si>
  <si>
    <t>Time In</t>
  </si>
  <si>
    <t>Time Spent 
(hrs)</t>
  </si>
  <si>
    <t>Charges</t>
  </si>
  <si>
    <t>IDT Reference</t>
  </si>
  <si>
    <t>Comments</t>
  </si>
  <si>
    <t>PoC</t>
  </si>
  <si>
    <t>Varadraj Pr</t>
  </si>
  <si>
    <t>Garden</t>
  </si>
  <si>
    <t>Sachinanndan Bhagvan Pr</t>
  </si>
  <si>
    <t>Mahavirya Pr</t>
  </si>
  <si>
    <t>Nano/Tilekar Nagar</t>
  </si>
  <si>
    <t>Nno/Lulanagar</t>
  </si>
  <si>
    <t>Ertiga/Velha</t>
  </si>
  <si>
    <t>Vrindavan/Kothrud</t>
  </si>
  <si>
    <t>Manager</t>
  </si>
  <si>
    <t>SSCP</t>
  </si>
  <si>
    <t>Mahavan/Pandharpur</t>
  </si>
  <si>
    <t>Sarvlkshna Pr</t>
  </si>
  <si>
    <t>Mahavan/Kothrud</t>
  </si>
  <si>
    <t>Mahavan/Hospital</t>
  </si>
  <si>
    <t>Mahavan/Hospital/Railway Station</t>
  </si>
  <si>
    <t>Vrindavan/Shivajia Nagar</t>
  </si>
  <si>
    <t>Amiya Madhusudan Pr</t>
  </si>
  <si>
    <t>Yugal Shyam Pr</t>
  </si>
  <si>
    <t>XL6/Air port</t>
  </si>
  <si>
    <t>Nano/Uttam Nagar</t>
  </si>
  <si>
    <t>Vrindavan/Railway Station</t>
  </si>
  <si>
    <t>Balaram/Velha</t>
  </si>
  <si>
    <t>VIIT Voie</t>
  </si>
  <si>
    <t>Jai Hanuman/Shindewadi /Repairing</t>
  </si>
  <si>
    <t>Gaurang Pran Pr</t>
  </si>
  <si>
    <t>Jai Hanuman/Washin,Grising/Ktraj</t>
  </si>
  <si>
    <t>Mahavan/Airport</t>
  </si>
  <si>
    <t>Renault/waaashing/reparing/</t>
  </si>
  <si>
    <t>Balaram/Vishal Nagar/Brahmchari 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</si>
</sst>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400]h:mm:ss\ AM/PM"/>
  </numFmts>
  <fonts count="3" x14ac:knownFonts="1">
    <font>
      <sz val="11"/>
      <color theme="1"/>
      <name val="Calibri"/>
      <family val="2"/>
      <scheme val="minor"/>
    </font>
    <font>
      <b/>
      <sz val="10"/>
      <color rgb="FFFFF2CC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3" xfId="0" applyBorder="1" applyAlignment="1">
      <alignment horizontal="left"/>
    </xf>
    <xf numFmtId="14" fontId="0" fillId="0" borderId="3" xfId="0" applyNumberFormat="1" applyBorder="1" applyAlignment="1">
      <alignment horizontal="left"/>
    </xf>
    <xf numFmtId="164" fontId="0" fillId="0" borderId="3" xfId="0" applyNumberFormat="1" applyBorder="1" applyAlignment="1">
      <alignment horizontal="left"/>
    </xf>
    <xf numFmtId="0" fontId="0" fillId="0" borderId="0" xfId="0" applyAlignment="1">
      <alignment horizontal="left"/>
    </xf>
    <xf numFmtId="0" fontId="2" fillId="0" borderId="4" xfId="0" applyFont="1" applyBorder="1" applyAlignment="1">
      <alignment wrapText="1"/>
    </xf>
    <xf numFmtId="20" fontId="0" fillId="0" borderId="3" xfId="0" applyNumberFormat="1" applyBorder="1" applyAlignment="1">
      <alignment horizontal="left"/>
    </xf>
    <xf numFmtId="46" fontId="0" fillId="0" borderId="3" xfId="0" applyNumberFormat="1" applyBorder="1" applyAlignment="1">
      <alignment horizontal="left"/>
    </xf>
    <xf numFmtId="0" fontId="0" fillId="0" borderId="3" xfId="0" applyFill="1" applyBorder="1" applyAlignment="1">
      <alignment horizontal="left"/>
    </xf>
    <xf numFmtId="14" fontId="0" fillId="0" borderId="3" xfId="0" applyNumberFormat="1" applyFill="1" applyBorder="1" applyAlignment="1">
      <alignment horizontal="left"/>
    </xf>
    <xf numFmtId="164" fontId="0" fillId="0" borderId="3" xfId="0" applyNumberFormat="1" applyFill="1" applyBorder="1" applyAlignment="1">
      <alignment horizontal="left"/>
    </xf>
    <xf numFmtId="0" fontId="0" fillId="0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Views>
    <sheetView tabSelected="1" workbookViewId="0">
      <selection activeCell="N10" sqref="N10"/>
    </sheetView>
  </sheetViews>
  <sheetFormatPr defaultColWidth="9.140625" defaultRowHeight="15" x14ac:dyDescent="0.25"/>
  <cols>
    <col min="1" max="1" width="4.85546875" style="7" bestFit="1" customWidth="1"/>
    <col min="2" max="2" width="10.42578125" style="7" bestFit="1" customWidth="1"/>
    <col min="3" max="3" width="4.42578125" style="7" bestFit="1" customWidth="1"/>
    <col min="4" max="4" width="39.7109375" style="7" bestFit="1" customWidth="1"/>
    <col min="5" max="5" width="11.5703125" style="7" bestFit="1" customWidth="1"/>
    <col min="6" max="6" width="23.85546875" style="7" bestFit="1" customWidth="1"/>
    <col min="7" max="8" width="11.5703125" style="7" bestFit="1" customWidth="1"/>
    <col min="9" max="9" width="18.28515625" style="7" customWidth="1"/>
    <col min="10" max="10" width="8.42578125" style="7" bestFit="1" customWidth="1"/>
    <col min="11" max="11" width="10.28515625" style="7" bestFit="1" customWidth="1"/>
    <col min="12" max="12" width="10.5703125" style="7" bestFit="1" customWidth="1"/>
    <col min="13" max="16384" width="9.140625" style="7"/>
  </cols>
  <sheetData>
    <row r="1" spans="1:12" s="3" customFormat="1" ht="25.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11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s="14" customFormat="1" x14ac:dyDescent="0.25">
      <c r="A2" s="11">
        <v>1</v>
      </c>
      <c r="B2" s="12">
        <v>45806</v>
      </c>
      <c r="C2" s="11"/>
      <c r="D2" s="11" t="s">
        <v>16</v>
      </c>
      <c r="E2" s="11"/>
      <c r="F2" s="11" t="s">
        <v>15</v>
      </c>
      <c r="G2" s="13">
        <v>0.52083333333333337</v>
      </c>
      <c r="H2" s="13">
        <v>0.54166666666666663</v>
      </c>
      <c r="I2" s="11">
        <f>(H2-G2)*24</f>
        <v>0.49999999999999822</v>
      </c>
      <c r="J2" s="11">
        <f>I2*100</f>
        <v>49.999999999999822</v>
      </c>
      <c r="K2" s="11"/>
      <c r="L2" s="11"/>
    </row>
    <row r="3" spans="1:12" s="14" customFormat="1" x14ac:dyDescent="0.25">
      <c r="A3" s="11">
        <v>2</v>
      </c>
      <c r="B3" s="12">
        <v>45808</v>
      </c>
      <c r="C3" s="11"/>
      <c r="D3" s="11" t="s">
        <v>17</v>
      </c>
      <c r="E3" s="11"/>
      <c r="F3" s="11" t="s">
        <v>14</v>
      </c>
      <c r="G3" s="13">
        <v>0.59027777777777779</v>
      </c>
      <c r="H3" s="13">
        <v>0.64583333333333337</v>
      </c>
      <c r="I3" s="11">
        <f t="shared" ref="I3:I4" si="0">(H3-G3)*24</f>
        <v>1.3333333333333339</v>
      </c>
      <c r="J3" s="11">
        <f t="shared" ref="J3:J27" si="1">I3*100</f>
        <v>133.3333333333334</v>
      </c>
      <c r="K3" s="11"/>
      <c r="L3" s="11"/>
    </row>
    <row r="4" spans="1:12" s="14" customFormat="1" x14ac:dyDescent="0.25">
      <c r="A4" s="11">
        <v>3</v>
      </c>
      <c r="B4" s="12">
        <v>45810</v>
      </c>
      <c r="C4" s="11"/>
      <c r="D4" s="11" t="s">
        <v>16</v>
      </c>
      <c r="E4" s="11"/>
      <c r="F4" s="11" t="s">
        <v>15</v>
      </c>
      <c r="G4" s="13">
        <v>0.4375</v>
      </c>
      <c r="H4" s="13">
        <v>0.45833333333333331</v>
      </c>
      <c r="I4" s="11">
        <f t="shared" si="0"/>
        <v>0.49999999999999956</v>
      </c>
      <c r="J4" s="11">
        <f t="shared" si="1"/>
        <v>49.999999999999957</v>
      </c>
      <c r="K4" s="11"/>
      <c r="L4" s="11"/>
    </row>
    <row r="5" spans="1:12" x14ac:dyDescent="0.25">
      <c r="A5" s="4">
        <v>4</v>
      </c>
      <c r="B5" s="5">
        <v>45810</v>
      </c>
      <c r="C5" s="4"/>
      <c r="D5" s="4" t="s">
        <v>18</v>
      </c>
      <c r="E5" s="4" t="s">
        <v>13</v>
      </c>
      <c r="F5" s="4" t="s">
        <v>12</v>
      </c>
      <c r="G5" s="6">
        <v>0.4513888888888889</v>
      </c>
      <c r="H5" s="6">
        <v>0.85416666666666663</v>
      </c>
      <c r="I5" s="4">
        <f t="shared" ref="I5:I20" si="2">(H5-G5)*24</f>
        <v>9.6666666666666661</v>
      </c>
      <c r="J5" s="4">
        <f t="shared" si="1"/>
        <v>966.66666666666663</v>
      </c>
      <c r="K5" s="4"/>
      <c r="L5" s="4"/>
    </row>
    <row r="6" spans="1:12" x14ac:dyDescent="0.25">
      <c r="A6" s="4">
        <v>5</v>
      </c>
      <c r="B6" s="5">
        <v>45817</v>
      </c>
      <c r="C6" s="4"/>
      <c r="D6" s="4" t="s">
        <v>16</v>
      </c>
      <c r="E6" s="4"/>
      <c r="F6" s="4" t="s">
        <v>15</v>
      </c>
      <c r="G6" s="6">
        <v>0.45833333333333331</v>
      </c>
      <c r="H6" s="6">
        <v>0.47916666666666669</v>
      </c>
      <c r="I6" s="4">
        <f t="shared" si="2"/>
        <v>0.50000000000000089</v>
      </c>
      <c r="J6" s="4">
        <f t="shared" si="1"/>
        <v>50.000000000000085</v>
      </c>
      <c r="K6" s="4"/>
      <c r="L6" s="4"/>
    </row>
    <row r="7" spans="1:12" x14ac:dyDescent="0.25">
      <c r="A7" s="4">
        <v>6</v>
      </c>
      <c r="B7" s="5">
        <v>45840</v>
      </c>
      <c r="C7" s="4"/>
      <c r="D7" s="4" t="s">
        <v>19</v>
      </c>
      <c r="E7" s="4" t="s">
        <v>20</v>
      </c>
      <c r="F7" s="4" t="s">
        <v>21</v>
      </c>
      <c r="G7" s="6">
        <v>0.47916666666666669</v>
      </c>
      <c r="H7" s="6">
        <v>0.6875</v>
      </c>
      <c r="I7" s="4">
        <f t="shared" si="2"/>
        <v>5</v>
      </c>
      <c r="J7" s="4">
        <f t="shared" si="1"/>
        <v>500</v>
      </c>
      <c r="K7" s="4"/>
      <c r="L7" s="4"/>
    </row>
    <row r="8" spans="1:12" x14ac:dyDescent="0.25">
      <c r="A8" s="4">
        <v>7</v>
      </c>
      <c r="B8" s="5">
        <v>45842</v>
      </c>
      <c r="C8" s="4"/>
      <c r="D8" s="4" t="s">
        <v>22</v>
      </c>
      <c r="E8" s="4" t="s">
        <v>20</v>
      </c>
      <c r="F8" s="4" t="s">
        <v>23</v>
      </c>
      <c r="G8" s="6">
        <v>0.41666666666666669</v>
      </c>
      <c r="H8" s="6">
        <v>1</v>
      </c>
      <c r="I8" s="4">
        <f t="shared" si="2"/>
        <v>13.999999999999998</v>
      </c>
      <c r="J8" s="4">
        <f t="shared" si="1"/>
        <v>1399.9999999999998</v>
      </c>
      <c r="K8" s="4"/>
      <c r="L8" s="4"/>
    </row>
    <row r="9" spans="1:12" x14ac:dyDescent="0.25">
      <c r="A9" s="4">
        <v>8</v>
      </c>
      <c r="B9" s="5">
        <v>45843</v>
      </c>
      <c r="C9" s="4"/>
      <c r="D9" s="4" t="s">
        <v>22</v>
      </c>
      <c r="E9" s="4" t="s">
        <v>20</v>
      </c>
      <c r="F9" s="4" t="s">
        <v>23</v>
      </c>
      <c r="G9" s="6">
        <v>4.1666666666666664E-2</v>
      </c>
      <c r="H9" s="6">
        <v>1</v>
      </c>
      <c r="I9" s="4">
        <f t="shared" si="2"/>
        <v>23</v>
      </c>
      <c r="J9" s="4">
        <f t="shared" si="1"/>
        <v>2300</v>
      </c>
      <c r="K9" s="4"/>
      <c r="L9" s="4"/>
    </row>
    <row r="10" spans="1:12" x14ac:dyDescent="0.25">
      <c r="A10" s="4">
        <v>9</v>
      </c>
      <c r="B10" s="5">
        <v>45844</v>
      </c>
      <c r="C10" s="4"/>
      <c r="D10" s="4" t="s">
        <v>22</v>
      </c>
      <c r="E10" s="4" t="s">
        <v>20</v>
      </c>
      <c r="F10" s="4" t="s">
        <v>23</v>
      </c>
      <c r="G10" s="6">
        <v>4.1666666666666664E-2</v>
      </c>
      <c r="H10" s="6">
        <v>1</v>
      </c>
      <c r="I10" s="4">
        <f t="shared" si="2"/>
        <v>23</v>
      </c>
      <c r="J10" s="4">
        <f t="shared" si="1"/>
        <v>2300</v>
      </c>
      <c r="K10" s="4"/>
      <c r="L10" s="4"/>
    </row>
    <row r="11" spans="1:12" x14ac:dyDescent="0.25">
      <c r="A11" s="4">
        <v>10</v>
      </c>
      <c r="B11" s="5">
        <v>45845</v>
      </c>
      <c r="C11" s="4"/>
      <c r="D11" s="4" t="s">
        <v>22</v>
      </c>
      <c r="E11" s="4" t="s">
        <v>20</v>
      </c>
      <c r="F11" s="4" t="s">
        <v>23</v>
      </c>
      <c r="G11" s="6">
        <v>4.1666666666666664E-2</v>
      </c>
      <c r="H11" s="6">
        <v>0.6875</v>
      </c>
      <c r="I11" s="4">
        <f t="shared" si="2"/>
        <v>15.5</v>
      </c>
      <c r="J11" s="4">
        <f t="shared" si="1"/>
        <v>1550</v>
      </c>
      <c r="K11" s="4"/>
      <c r="L11" s="4"/>
    </row>
    <row r="12" spans="1:12" x14ac:dyDescent="0.25">
      <c r="A12" s="4">
        <v>11</v>
      </c>
      <c r="B12" s="5">
        <v>45846</v>
      </c>
      <c r="C12" s="4"/>
      <c r="D12" s="4" t="s">
        <v>19</v>
      </c>
      <c r="E12" s="4" t="s">
        <v>20</v>
      </c>
      <c r="F12" s="4" t="s">
        <v>21</v>
      </c>
      <c r="G12" s="6">
        <v>0.45833333333333331</v>
      </c>
      <c r="H12" s="6">
        <v>0.6875</v>
      </c>
      <c r="I12" s="4">
        <f t="shared" si="2"/>
        <v>5.5</v>
      </c>
      <c r="J12" s="4">
        <f t="shared" si="1"/>
        <v>550</v>
      </c>
      <c r="K12" s="4"/>
      <c r="L12" s="4"/>
    </row>
    <row r="13" spans="1:12" x14ac:dyDescent="0.25">
      <c r="A13" s="4">
        <v>12</v>
      </c>
      <c r="B13" s="5">
        <v>45847</v>
      </c>
      <c r="C13" s="4"/>
      <c r="D13" s="4" t="s">
        <v>24</v>
      </c>
      <c r="E13" s="4" t="s">
        <v>20</v>
      </c>
      <c r="F13" s="4" t="s">
        <v>21</v>
      </c>
      <c r="G13" s="9">
        <v>0.47986111111111113</v>
      </c>
      <c r="H13" s="9">
        <v>0.62152777777777779</v>
      </c>
      <c r="I13" s="4">
        <f t="shared" si="2"/>
        <v>3.4</v>
      </c>
      <c r="J13" s="4">
        <f t="shared" si="1"/>
        <v>340</v>
      </c>
      <c r="K13" s="4"/>
      <c r="L13" s="4"/>
    </row>
    <row r="14" spans="1:12" x14ac:dyDescent="0.25">
      <c r="A14" s="4">
        <v>13</v>
      </c>
      <c r="B14" s="5">
        <v>45855</v>
      </c>
      <c r="C14" s="4"/>
      <c r="D14" s="4" t="s">
        <v>25</v>
      </c>
      <c r="E14" s="4" t="s">
        <v>20</v>
      </c>
      <c r="F14" s="4" t="s">
        <v>21</v>
      </c>
      <c r="G14" s="9">
        <v>0.5</v>
      </c>
      <c r="H14" s="6">
        <v>0.6875</v>
      </c>
      <c r="I14" s="4">
        <f t="shared" si="2"/>
        <v>4.5</v>
      </c>
      <c r="J14" s="4">
        <f t="shared" si="1"/>
        <v>450</v>
      </c>
      <c r="K14" s="4"/>
      <c r="L14" s="4"/>
    </row>
    <row r="15" spans="1:12" x14ac:dyDescent="0.25">
      <c r="A15" s="4">
        <v>14</v>
      </c>
      <c r="B15" s="5">
        <v>45856</v>
      </c>
      <c r="C15" s="4"/>
      <c r="D15" s="4" t="s">
        <v>19</v>
      </c>
      <c r="E15" s="4" t="s">
        <v>20</v>
      </c>
      <c r="F15" s="4" t="s">
        <v>21</v>
      </c>
      <c r="G15" s="9">
        <v>0.5</v>
      </c>
      <c r="H15" s="6">
        <v>0.6875</v>
      </c>
      <c r="I15" s="4">
        <f t="shared" si="2"/>
        <v>4.5</v>
      </c>
      <c r="J15" s="4">
        <f t="shared" si="1"/>
        <v>450</v>
      </c>
      <c r="K15" s="4"/>
      <c r="L15" s="4"/>
    </row>
    <row r="16" spans="1:12" x14ac:dyDescent="0.25">
      <c r="A16" s="4">
        <v>15</v>
      </c>
      <c r="B16" s="5">
        <v>45857</v>
      </c>
      <c r="C16" s="4"/>
      <c r="D16" s="4" t="s">
        <v>25</v>
      </c>
      <c r="E16" s="4" t="s">
        <v>20</v>
      </c>
      <c r="F16" s="4" t="s">
        <v>21</v>
      </c>
      <c r="G16" s="9">
        <v>0.5</v>
      </c>
      <c r="H16" s="9">
        <v>0.64583333333333337</v>
      </c>
      <c r="I16" s="4">
        <f t="shared" si="2"/>
        <v>3.5000000000000009</v>
      </c>
      <c r="J16" s="4">
        <f t="shared" si="1"/>
        <v>350.00000000000011</v>
      </c>
      <c r="K16" s="4"/>
      <c r="L16" s="4"/>
    </row>
    <row r="17" spans="1:12" x14ac:dyDescent="0.25">
      <c r="A17" s="4">
        <v>16</v>
      </c>
      <c r="B17" s="5">
        <v>45858</v>
      </c>
      <c r="C17" s="4"/>
      <c r="D17" s="4" t="s">
        <v>26</v>
      </c>
      <c r="E17" s="4" t="s">
        <v>20</v>
      </c>
      <c r="F17" s="4" t="s">
        <v>21</v>
      </c>
      <c r="G17" s="6">
        <v>0.41666666666666669</v>
      </c>
      <c r="H17" s="6">
        <v>0.6875</v>
      </c>
      <c r="I17" s="4">
        <f t="shared" si="2"/>
        <v>6.5</v>
      </c>
      <c r="J17" s="4">
        <f t="shared" si="1"/>
        <v>650</v>
      </c>
      <c r="K17" s="4"/>
      <c r="L17" s="4"/>
    </row>
    <row r="18" spans="1:12" x14ac:dyDescent="0.25">
      <c r="A18" s="4">
        <v>17</v>
      </c>
      <c r="B18" s="5">
        <v>45873</v>
      </c>
      <c r="C18" s="4"/>
      <c r="D18" s="4" t="s">
        <v>27</v>
      </c>
      <c r="E18" s="4" t="s">
        <v>20</v>
      </c>
      <c r="F18" s="4" t="s">
        <v>28</v>
      </c>
      <c r="G18" s="9">
        <v>0.60416666666666663</v>
      </c>
      <c r="H18" s="9">
        <v>0.72916666666666663</v>
      </c>
      <c r="I18" s="4">
        <f t="shared" si="2"/>
        <v>3</v>
      </c>
      <c r="J18" s="4">
        <f t="shared" si="1"/>
        <v>300</v>
      </c>
      <c r="K18" s="4"/>
      <c r="L18" s="4"/>
    </row>
    <row r="19" spans="1:12" x14ac:dyDescent="0.25">
      <c r="A19" s="4">
        <v>18</v>
      </c>
      <c r="B19" s="5">
        <v>45891</v>
      </c>
      <c r="C19" s="4"/>
      <c r="D19" s="4" t="s">
        <v>30</v>
      </c>
      <c r="E19" s="4" t="s">
        <v>20</v>
      </c>
      <c r="F19" s="4" t="s">
        <v>29</v>
      </c>
      <c r="G19" s="9">
        <v>0.50763888888888886</v>
      </c>
      <c r="H19" s="9">
        <v>0.60069444444444442</v>
      </c>
      <c r="I19" s="4">
        <f t="shared" si="2"/>
        <v>2.2333333333333334</v>
      </c>
      <c r="J19" s="4">
        <f t="shared" si="1"/>
        <v>223.33333333333334</v>
      </c>
      <c r="K19" s="4"/>
      <c r="L19" s="4"/>
    </row>
    <row r="20" spans="1:12" x14ac:dyDescent="0.25">
      <c r="A20" s="4">
        <v>19</v>
      </c>
      <c r="B20" s="5">
        <v>45893</v>
      </c>
      <c r="C20" s="4"/>
      <c r="D20" s="4" t="s">
        <v>31</v>
      </c>
      <c r="E20" s="4" t="s">
        <v>20</v>
      </c>
      <c r="F20" s="4" t="s">
        <v>21</v>
      </c>
      <c r="G20" s="6">
        <v>0.5</v>
      </c>
      <c r="H20" s="9">
        <v>0.72916666666666663</v>
      </c>
      <c r="I20" s="4">
        <f t="shared" si="2"/>
        <v>5.4999999999999991</v>
      </c>
      <c r="J20" s="4">
        <f t="shared" si="1"/>
        <v>549.99999999999989</v>
      </c>
      <c r="K20" s="4"/>
      <c r="L20" s="4"/>
    </row>
    <row r="21" spans="1:12" ht="15.75" thickBot="1" x14ac:dyDescent="0.3">
      <c r="A21" s="4">
        <v>20</v>
      </c>
      <c r="B21" s="5">
        <v>45908</v>
      </c>
      <c r="C21" s="4"/>
      <c r="D21" s="4" t="s">
        <v>35</v>
      </c>
      <c r="E21" s="4"/>
      <c r="F21" s="4" t="s">
        <v>36</v>
      </c>
      <c r="G21" s="9">
        <v>0.4375</v>
      </c>
      <c r="H21" s="9">
        <v>0.89583333333333337</v>
      </c>
      <c r="I21" s="4">
        <f t="shared" ref="I21:I27" si="3">(H21-G21)*24</f>
        <v>11</v>
      </c>
      <c r="J21" s="4">
        <f t="shared" ref="J21:J22" si="4">I21*100</f>
        <v>1100</v>
      </c>
      <c r="K21" s="4"/>
      <c r="L21" s="4"/>
    </row>
    <row r="22" spans="1:12" ht="15.75" thickBot="1" x14ac:dyDescent="0.3">
      <c r="A22" s="4">
        <v>21</v>
      </c>
      <c r="B22" s="5">
        <v>45909</v>
      </c>
      <c r="C22" s="4"/>
      <c r="D22" s="8" t="s">
        <v>37</v>
      </c>
      <c r="E22" s="4"/>
      <c r="F22" s="4" t="s">
        <v>36</v>
      </c>
      <c r="G22" s="9">
        <v>0.89583333333333337</v>
      </c>
      <c r="H22" s="9">
        <v>0.9375</v>
      </c>
      <c r="I22" s="4">
        <f t="shared" si="3"/>
        <v>0.99999999999999911</v>
      </c>
      <c r="J22" s="4">
        <f t="shared" si="4"/>
        <v>99.999999999999915</v>
      </c>
      <c r="K22" s="4"/>
      <c r="L22" s="4"/>
    </row>
    <row r="23" spans="1:12" x14ac:dyDescent="0.25">
      <c r="A23" s="4">
        <v>22</v>
      </c>
      <c r="B23" s="5">
        <v>45912</v>
      </c>
      <c r="C23" s="4"/>
      <c r="D23" s="4" t="s">
        <v>32</v>
      </c>
      <c r="E23" s="4" t="s">
        <v>20</v>
      </c>
      <c r="F23" s="4" t="s">
        <v>29</v>
      </c>
      <c r="G23" s="9">
        <v>0.6875</v>
      </c>
      <c r="H23" s="9">
        <v>0.8125</v>
      </c>
      <c r="I23" s="4">
        <f t="shared" si="3"/>
        <v>3</v>
      </c>
      <c r="J23" s="4">
        <f t="shared" si="1"/>
        <v>300</v>
      </c>
      <c r="K23" s="4"/>
      <c r="L23" s="4"/>
    </row>
    <row r="24" spans="1:12" x14ac:dyDescent="0.25">
      <c r="A24" s="4">
        <v>22</v>
      </c>
      <c r="B24" s="5">
        <v>45913</v>
      </c>
      <c r="C24" s="4"/>
      <c r="D24" s="4" t="s">
        <v>33</v>
      </c>
      <c r="E24" s="4" t="s">
        <v>34</v>
      </c>
      <c r="F24" s="4" t="s">
        <v>28</v>
      </c>
      <c r="G24" s="9">
        <v>0.75</v>
      </c>
      <c r="H24" s="10">
        <v>1</v>
      </c>
      <c r="I24" s="4">
        <f t="shared" si="3"/>
        <v>6</v>
      </c>
      <c r="J24" s="4">
        <f t="shared" si="1"/>
        <v>600</v>
      </c>
      <c r="K24" s="4"/>
      <c r="L24" s="4"/>
    </row>
    <row r="25" spans="1:12" ht="15.75" thickBot="1" x14ac:dyDescent="0.3">
      <c r="A25" s="4">
        <v>23</v>
      </c>
      <c r="B25" s="5">
        <v>45945</v>
      </c>
      <c r="C25" s="4"/>
      <c r="D25" s="4" t="s">
        <v>38</v>
      </c>
      <c r="E25" s="4" t="s">
        <v>20</v>
      </c>
      <c r="F25" s="4" t="s">
        <v>28</v>
      </c>
      <c r="G25" s="9">
        <v>0.6875</v>
      </c>
      <c r="H25" s="9">
        <v>0.8125</v>
      </c>
      <c r="I25" s="4">
        <f t="shared" si="3"/>
        <v>3</v>
      </c>
      <c r="J25" s="4">
        <f t="shared" si="1"/>
        <v>300</v>
      </c>
      <c r="K25" s="4"/>
      <c r="L25" s="4"/>
    </row>
    <row r="26" spans="1:12" ht="15.75" thickBot="1" x14ac:dyDescent="0.3">
      <c r="A26" s="4">
        <v>24</v>
      </c>
      <c r="B26" s="5">
        <v>45945</v>
      </c>
      <c r="C26" s="4"/>
      <c r="D26" s="8" t="s">
        <v>39</v>
      </c>
      <c r="E26" s="4" t="s">
        <v>20</v>
      </c>
      <c r="F26" s="4" t="s">
        <v>23</v>
      </c>
      <c r="G26" s="9">
        <v>0.39583333333333331</v>
      </c>
      <c r="H26" s="9">
        <v>0.60416666666666663</v>
      </c>
      <c r="I26" s="4">
        <f t="shared" si="3"/>
        <v>5</v>
      </c>
      <c r="J26" s="4">
        <f t="shared" si="1"/>
        <v>500</v>
      </c>
      <c r="K26" s="4"/>
      <c r="L26" s="4"/>
    </row>
    <row r="27" spans="1:12" x14ac:dyDescent="0.25">
      <c r="A27" s="4">
        <v>25</v>
      </c>
      <c r="B27" s="5">
        <v>45959</v>
      </c>
      <c r="C27" s="4"/>
      <c r="D27" s="4" t="s">
        <v>40</v>
      </c>
      <c r="E27" s="4" t="s">
        <v>20</v>
      </c>
      <c r="F27" s="4" t="s">
        <v>21</v>
      </c>
      <c r="G27" s="9">
        <v>0.27083333333333331</v>
      </c>
      <c r="H27" s="9">
        <v>0.52083333333333337</v>
      </c>
      <c r="I27" s="4">
        <f t="shared" si="3"/>
        <v>6.0000000000000018</v>
      </c>
      <c r="J27" s="4">
        <f t="shared" si="1"/>
        <v>600.00000000000023</v>
      </c>
      <c r="K27" s="4"/>
      <c r="L27" s="4"/>
    </row>
    <row r="28" spans="1:12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2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12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2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1:12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1:12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1:12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spans="1:12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</sheetData>
  <pageMargins left="0.7" right="0.7" top="0.75" bottom="0.75" header="0.3" footer="0.3"/>
  <pageSetup paperSize="9" orientation="portrait" verticalDpi="0" r:id="rId1"/>
  <ignoredErrors>
    <ignoredError sqref="I13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Amiya Madhusudan Das</dc:creator>
  <cp:lastModifiedBy>jivdaya</cp:lastModifiedBy>
  <dcterms:created xsi:type="dcterms:W3CDTF">2015-06-05T18:17:20Z</dcterms:created>
  <dcterms:modified xsi:type="dcterms:W3CDTF">2025-11-04T10:53:50Z</dcterms:modified>
</cp:coreProperties>
</file>