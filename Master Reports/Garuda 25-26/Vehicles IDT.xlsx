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755" tabRatio="945" firstSheet="6" activeTab="17"/>
  </bookViews>
  <sheets>
    <sheet name="1" sheetId="1" r:id="rId1"/>
    <sheet name="Pashan Cenrtre" sheetId="17" r:id="rId2"/>
    <sheet name="GGD Voice" sheetId="16" r:id="rId3"/>
    <sheet name="Brahmvidya" sheetId="15" r:id="rId4"/>
    <sheet name="Atmanivedanyoga" sheetId="14" r:id="rId5"/>
    <sheet name="Voice Pub" sheetId="12" r:id="rId6"/>
    <sheet name="FFL+ EM" sheetId="18" r:id="rId7"/>
    <sheet name="Project" sheetId="9" r:id="rId8"/>
    <sheet name="Garden" sheetId="10" r:id="rId9"/>
    <sheet name="Gita Contest" sheetId="8" r:id="rId10"/>
    <sheet name="Janmastami Festival" sheetId="19" r:id="rId11"/>
    <sheet name="Houskiping" sheetId="7" r:id="rId12"/>
    <sheet name="D T Festival" sheetId="6" r:id="rId13"/>
    <sheet name="Balaji Mandir" sheetId="5" r:id="rId14"/>
    <sheet name="Pooja Thali" sheetId="20" r:id="rId15"/>
    <sheet name="JDOD" sheetId="4" r:id="rId16"/>
    <sheet name="B Ashram" sheetId="3" r:id="rId17"/>
    <sheet name="Manager" sheetId="2" r:id="rId18"/>
    <sheet name="Velha Meitanance" sheetId="13" r:id="rId19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2" l="1"/>
  <c r="O8" i="2"/>
  <c r="O9" i="2"/>
  <c r="O10" i="2"/>
  <c r="O11" i="2"/>
  <c r="O12" i="2"/>
  <c r="O6" i="2"/>
  <c r="H13" i="2"/>
  <c r="H7" i="2"/>
  <c r="H8" i="2"/>
  <c r="H9" i="2"/>
  <c r="H10" i="2"/>
  <c r="H11" i="2"/>
  <c r="H12" i="2"/>
  <c r="H6" i="2" l="1"/>
  <c r="Q5" i="13" l="1"/>
  <c r="P19" i="8" l="1"/>
  <c r="P20" i="8"/>
  <c r="P21" i="8"/>
  <c r="P22" i="8"/>
  <c r="Q11" i="16" l="1"/>
  <c r="H13" i="4" l="1"/>
  <c r="P13" i="4" s="1"/>
  <c r="H29" i="8"/>
  <c r="P29" i="8" s="1"/>
  <c r="H12" i="4"/>
  <c r="P12" i="4" s="1"/>
  <c r="G4" i="7"/>
  <c r="O13" i="2" l="1"/>
  <c r="H11" i="4"/>
  <c r="P11" i="4" s="1"/>
  <c r="H12" i="6"/>
  <c r="I15" i="12"/>
  <c r="P15" i="12" s="1"/>
  <c r="P2" i="10"/>
  <c r="H5" i="10"/>
  <c r="P5" i="10" s="1"/>
  <c r="H4" i="5"/>
  <c r="P4" i="5" s="1"/>
  <c r="H3" i="5"/>
  <c r="P3" i="5" s="1"/>
  <c r="H4" i="10"/>
  <c r="H10" i="4"/>
  <c r="P10" i="4" s="1"/>
  <c r="H28" i="8"/>
  <c r="P28" i="8" s="1"/>
  <c r="H27" i="8"/>
  <c r="P27" i="8" s="1"/>
  <c r="I14" i="12"/>
  <c r="I18" i="12" s="1"/>
  <c r="H26" i="8"/>
  <c r="P26" i="8" s="1"/>
  <c r="H25" i="8"/>
  <c r="P25" i="8" s="1"/>
  <c r="H24" i="8"/>
  <c r="P24" i="8" s="1"/>
  <c r="H23" i="8"/>
  <c r="P23" i="8" s="1"/>
  <c r="H9" i="4"/>
  <c r="P9" i="4" s="1"/>
  <c r="H8" i="4"/>
  <c r="P8" i="4" s="1"/>
  <c r="P13" i="12"/>
  <c r="H18" i="8"/>
  <c r="P18" i="8" s="1"/>
  <c r="H7" i="4"/>
  <c r="G3" i="19"/>
  <c r="L3" i="19" s="1"/>
  <c r="H17" i="8"/>
  <c r="P17" i="8" s="1"/>
  <c r="H16" i="8"/>
  <c r="P16" i="8" s="1"/>
  <c r="H15" i="8"/>
  <c r="P15" i="8" s="1"/>
  <c r="H14" i="8"/>
  <c r="Q3" i="13"/>
  <c r="P14" i="12" l="1"/>
  <c r="P18" i="12" s="1"/>
  <c r="P4" i="10"/>
  <c r="P6" i="10" s="1"/>
  <c r="H6" i="10"/>
  <c r="H30" i="8"/>
  <c r="P14" i="8"/>
  <c r="P30" i="8" s="1"/>
  <c r="P7" i="4"/>
  <c r="P14" i="4" s="1"/>
  <c r="H14" i="4"/>
  <c r="H3" i="4"/>
  <c r="P3" i="4" s="1"/>
  <c r="H4" i="4"/>
  <c r="P4" i="4" s="1"/>
  <c r="H10" i="8"/>
  <c r="P10" i="8" s="1"/>
  <c r="H11" i="8"/>
  <c r="P11" i="8" s="1"/>
  <c r="H9" i="8"/>
  <c r="P10" i="18"/>
  <c r="H12" i="8" l="1"/>
  <c r="P9" i="8"/>
  <c r="P12" i="8" s="1"/>
  <c r="H7" i="6"/>
  <c r="O7" i="6" s="1"/>
  <c r="H8" i="6"/>
  <c r="O8" i="6" s="1"/>
  <c r="H6" i="6"/>
  <c r="O6" i="6" s="1"/>
  <c r="G3" i="7"/>
  <c r="L3" i="7" s="1"/>
  <c r="J4" i="18"/>
  <c r="J5" i="18"/>
  <c r="P5" i="18" s="1"/>
  <c r="O10" i="6" l="1"/>
  <c r="P10" i="12"/>
  <c r="H3" i="8"/>
  <c r="P3" i="8" s="1"/>
  <c r="H4" i="8"/>
  <c r="I2" i="13"/>
  <c r="P4" i="18"/>
  <c r="P8" i="12"/>
  <c r="P9" i="12"/>
  <c r="Q2" i="13" l="1"/>
  <c r="Q4" i="13" s="1"/>
  <c r="I4" i="13"/>
  <c r="P2" i="9"/>
  <c r="P3" i="12"/>
  <c r="P2" i="12"/>
  <c r="J3" i="18" l="1"/>
  <c r="H2" i="17"/>
  <c r="P2" i="17" s="1"/>
  <c r="I8" i="16"/>
  <c r="Q8" i="16" s="1"/>
  <c r="R8" i="16" s="1"/>
  <c r="I7" i="16"/>
  <c r="Q7" i="16" s="1"/>
  <c r="R7" i="16" s="1"/>
  <c r="Q6" i="16"/>
  <c r="I5" i="16"/>
  <c r="K5" i="16" s="1"/>
  <c r="I2" i="16"/>
  <c r="Q2" i="16" s="1"/>
  <c r="P2" i="15"/>
  <c r="H3" i="14"/>
  <c r="P3" i="14" s="1"/>
  <c r="P4" i="14" s="1"/>
  <c r="I7" i="12"/>
  <c r="P7" i="12" s="1"/>
  <c r="I6" i="12"/>
  <c r="P6" i="12" s="1"/>
  <c r="I5" i="12"/>
  <c r="P5" i="12" s="1"/>
  <c r="I4" i="12"/>
  <c r="H5" i="9"/>
  <c r="P5" i="9" s="1"/>
  <c r="H4" i="9"/>
  <c r="P4" i="9" s="1"/>
  <c r="H3" i="9"/>
  <c r="P3" i="9" s="1"/>
  <c r="H2" i="8"/>
  <c r="G2" i="7"/>
  <c r="L2" i="7" s="1"/>
  <c r="H3" i="6"/>
  <c r="O3" i="6" s="1"/>
  <c r="H2" i="6"/>
  <c r="O2" i="6" s="1"/>
  <c r="H2" i="5"/>
  <c r="H2" i="3"/>
  <c r="P2" i="3" s="1"/>
  <c r="H2" i="4"/>
  <c r="P2" i="4" s="1"/>
  <c r="P5" i="4" s="1"/>
  <c r="H3" i="2"/>
  <c r="O3" i="2" s="1"/>
  <c r="H2" i="2"/>
  <c r="H56" i="1"/>
  <c r="P2" i="5" l="1"/>
  <c r="P5" i="5" s="1"/>
  <c r="H5" i="5"/>
  <c r="O2" i="2"/>
  <c r="O4" i="2" s="1"/>
  <c r="H4" i="2"/>
  <c r="P2" i="8"/>
  <c r="P5" i="8" s="1"/>
  <c r="H5" i="8"/>
  <c r="P4" i="12"/>
  <c r="P11" i="12" s="1"/>
  <c r="I11" i="12"/>
  <c r="P6" i="9"/>
  <c r="P3" i="18"/>
  <c r="P6" i="18" s="1"/>
  <c r="J6" i="18"/>
  <c r="O4" i="6"/>
  <c r="Q9" i="16"/>
  <c r="H4" i="1"/>
  <c r="P4" i="1" s="1"/>
  <c r="H67" i="1"/>
  <c r="P67" i="1" s="1"/>
  <c r="H66" i="1"/>
  <c r="P66" i="1" s="1"/>
  <c r="H65" i="1"/>
  <c r="P65" i="1" s="1"/>
  <c r="H64" i="1"/>
  <c r="P64" i="1" s="1"/>
  <c r="H40" i="1"/>
  <c r="P40" i="1" s="1"/>
  <c r="H41" i="1"/>
  <c r="P41" i="1" s="1"/>
  <c r="Q40" i="1" l="1"/>
  <c r="Q41" i="1"/>
  <c r="P32" i="1" l="1"/>
  <c r="P39" i="1"/>
  <c r="H38" i="1"/>
  <c r="J38" i="1" s="1"/>
  <c r="H29" i="1" l="1"/>
  <c r="P29" i="1" s="1"/>
  <c r="P30" i="1" s="1"/>
  <c r="H55" i="1"/>
  <c r="P55" i="1" s="1"/>
  <c r="H54" i="1"/>
  <c r="P54" i="1" s="1"/>
  <c r="H50" i="1" l="1"/>
  <c r="P50" i="1" s="1"/>
  <c r="P51" i="1" s="1"/>
  <c r="H44" i="1"/>
  <c r="P44" i="1" s="1"/>
  <c r="H35" i="1"/>
  <c r="P35" i="1" s="1"/>
  <c r="P42" i="1" s="1"/>
  <c r="H24" i="1"/>
  <c r="P24" i="1" s="1"/>
  <c r="H20" i="1"/>
  <c r="P20" i="1" s="1"/>
  <c r="H19" i="1"/>
  <c r="P19" i="1" s="1"/>
  <c r="H15" i="1"/>
  <c r="P15" i="1" s="1"/>
  <c r="H11" i="1"/>
  <c r="P11" i="1" s="1"/>
  <c r="H7" i="1"/>
  <c r="P7" i="1" s="1"/>
  <c r="H3" i="1"/>
  <c r="P3" i="1" s="1"/>
</calcChain>
</file>

<file path=xl/sharedStrings.xml><?xml version="1.0" encoding="utf-8"?>
<sst xmlns="http://schemas.openxmlformats.org/spreadsheetml/2006/main" count="1118" uniqueCount="401">
  <si>
    <t>29.11.2024</t>
  </si>
  <si>
    <t>Manager</t>
  </si>
  <si>
    <t>Market Yard</t>
  </si>
  <si>
    <t>7:15pm</t>
  </si>
  <si>
    <t>9:35am</t>
  </si>
  <si>
    <t>Abhishek</t>
  </si>
  <si>
    <t>10.12.2024</t>
  </si>
  <si>
    <t>JDOD</t>
  </si>
  <si>
    <t>12:20PM</t>
  </si>
  <si>
    <t>6:00PM</t>
  </si>
  <si>
    <t>Rajeev</t>
  </si>
  <si>
    <t>04.02.2025</t>
  </si>
  <si>
    <t>B Ashram</t>
  </si>
  <si>
    <t>VIIT</t>
  </si>
  <si>
    <t>2:35PM</t>
  </si>
  <si>
    <t>2:45PM</t>
  </si>
  <si>
    <t>Samesh Pr</t>
  </si>
  <si>
    <t>08.02.2025</t>
  </si>
  <si>
    <t>Balaji Mandir</t>
  </si>
  <si>
    <t>7:15am</t>
  </si>
  <si>
    <t>9:15am</t>
  </si>
  <si>
    <t>Rajeev Pr</t>
  </si>
  <si>
    <t>09.02.2025</t>
  </si>
  <si>
    <t>DT Festival</t>
  </si>
  <si>
    <t>6:50am</t>
  </si>
  <si>
    <t>9:30am</t>
  </si>
  <si>
    <t>Shambhunath Pr</t>
  </si>
  <si>
    <t>10:10am</t>
  </si>
  <si>
    <t>11:25am</t>
  </si>
  <si>
    <t>18.02.2025</t>
  </si>
  <si>
    <t xml:space="preserve">House Keeping </t>
  </si>
  <si>
    <t>2:00pm</t>
  </si>
  <si>
    <t>6:22pm</t>
  </si>
  <si>
    <t>Subhash Pr</t>
  </si>
  <si>
    <t>19.02.2025</t>
  </si>
  <si>
    <t>GGD Voice</t>
  </si>
  <si>
    <t>Navale Bridge</t>
  </si>
  <si>
    <t>7:30pm</t>
  </si>
  <si>
    <t>9:40pm</t>
  </si>
  <si>
    <t>19.03.2025</t>
  </si>
  <si>
    <t>Vadgaon</t>
  </si>
  <si>
    <t>6:20pm</t>
  </si>
  <si>
    <t>11:35am</t>
  </si>
  <si>
    <t>Atharva</t>
  </si>
  <si>
    <t>26.03.2025</t>
  </si>
  <si>
    <t>1:34pm</t>
  </si>
  <si>
    <t>26.02.2025</t>
  </si>
  <si>
    <t>Gita Contest</t>
  </si>
  <si>
    <t>VRL</t>
  </si>
  <si>
    <t>1:55PM</t>
  </si>
  <si>
    <t>Shankar Pr</t>
  </si>
  <si>
    <t>10.03.2025</t>
  </si>
  <si>
    <t>Pisoli</t>
  </si>
  <si>
    <t>4:00PM</t>
  </si>
  <si>
    <t>4:38PM</t>
  </si>
  <si>
    <t>Subhash</t>
  </si>
  <si>
    <t>21.02.2025</t>
  </si>
  <si>
    <t>Arjun Ishwar Pr</t>
  </si>
  <si>
    <t xml:space="preserve">Bavadhan </t>
  </si>
  <si>
    <t>1:00pm</t>
  </si>
  <si>
    <t>2:12pm</t>
  </si>
  <si>
    <t>06.03.2025</t>
  </si>
  <si>
    <t>Project</t>
  </si>
  <si>
    <t>Katraj</t>
  </si>
  <si>
    <t>5:15PM</t>
  </si>
  <si>
    <t>6:50PM</t>
  </si>
  <si>
    <t>13.03.2025</t>
  </si>
  <si>
    <t>EM</t>
  </si>
  <si>
    <t>9:28AM</t>
  </si>
  <si>
    <t>05.05.2025</t>
  </si>
  <si>
    <t>12:15pm</t>
  </si>
  <si>
    <t>Rajiv Pr</t>
  </si>
  <si>
    <t>11.05.2025</t>
  </si>
  <si>
    <t>2:15pm</t>
  </si>
  <si>
    <t>3:10pm</t>
  </si>
  <si>
    <t>Pankaj Pr</t>
  </si>
  <si>
    <t>03.05.2025</t>
  </si>
  <si>
    <t>Atmnivedan Yoga</t>
  </si>
  <si>
    <t>Baner</t>
  </si>
  <si>
    <t>5:40pm</t>
  </si>
  <si>
    <t>10:45pm</t>
  </si>
  <si>
    <t>Pankaj</t>
  </si>
  <si>
    <t>09.03.2025</t>
  </si>
  <si>
    <t>Vradraj Pr</t>
  </si>
  <si>
    <t>Atmanivedan Yoga</t>
  </si>
  <si>
    <t>2:00PM</t>
  </si>
  <si>
    <t>Yogesh</t>
  </si>
  <si>
    <t>01.06.2025</t>
  </si>
  <si>
    <t>12:00pm</t>
  </si>
  <si>
    <t>8:30pm</t>
  </si>
  <si>
    <t>Shubha Krishna Pr</t>
  </si>
  <si>
    <t>Varadraj Pr</t>
  </si>
  <si>
    <t>Brahma Vidya</t>
  </si>
  <si>
    <t>Velha</t>
  </si>
  <si>
    <t>11:00pm</t>
  </si>
  <si>
    <t>5:00pm</t>
  </si>
  <si>
    <t>Navale Bridgr</t>
  </si>
  <si>
    <t>Driver Charges</t>
  </si>
  <si>
    <t>Total IDT Amount</t>
  </si>
  <si>
    <t>Project Name</t>
  </si>
  <si>
    <t>KM</t>
  </si>
  <si>
    <t>Rate</t>
  </si>
  <si>
    <t>Place</t>
  </si>
  <si>
    <t>04.06.25</t>
  </si>
  <si>
    <t>IDT No</t>
  </si>
  <si>
    <t>Date</t>
  </si>
  <si>
    <t>06.06.2025</t>
  </si>
  <si>
    <t>3:00pm</t>
  </si>
  <si>
    <t>09.06.2025</t>
  </si>
  <si>
    <t>8:35am</t>
  </si>
  <si>
    <t>Pashan Centre</t>
  </si>
  <si>
    <t>CV2025060311</t>
  </si>
  <si>
    <t>CV2025060312</t>
  </si>
  <si>
    <t>CV2025060313</t>
  </si>
  <si>
    <t>CV2025060314</t>
  </si>
  <si>
    <t>12.06.2025</t>
  </si>
  <si>
    <t>Voice Publication</t>
  </si>
  <si>
    <t>11:14am</t>
  </si>
  <si>
    <t>11:48am</t>
  </si>
  <si>
    <t>12:19pm</t>
  </si>
  <si>
    <t>12:49pm</t>
  </si>
  <si>
    <t>13.06.2025</t>
  </si>
  <si>
    <t>Garden</t>
  </si>
  <si>
    <t>10:01am</t>
  </si>
  <si>
    <t>3:04pm</t>
  </si>
  <si>
    <t>17.06.2025</t>
  </si>
  <si>
    <t>Vioce Publication</t>
  </si>
  <si>
    <t>12:30pm</t>
  </si>
  <si>
    <t>12:50pm</t>
  </si>
  <si>
    <t>1:20pm</t>
  </si>
  <si>
    <t>02.06.2025</t>
  </si>
  <si>
    <t>Kaustubh Pr</t>
  </si>
  <si>
    <t>Yewlewadi</t>
  </si>
  <si>
    <t xml:space="preserve">  Yogesh</t>
  </si>
  <si>
    <t>08.07.2025</t>
  </si>
  <si>
    <t>7:35PM</t>
  </si>
  <si>
    <t>8:15PM</t>
  </si>
  <si>
    <t>Bhibvewadi</t>
  </si>
  <si>
    <t>21.03.2024</t>
  </si>
  <si>
    <t>11:05am</t>
  </si>
  <si>
    <t>11:45am</t>
  </si>
  <si>
    <t>Ravindra Pr</t>
  </si>
  <si>
    <t>12.04.2024</t>
  </si>
  <si>
    <t>12:40pm</t>
  </si>
  <si>
    <t>01:30pm</t>
  </si>
  <si>
    <t>Harish Pr</t>
  </si>
  <si>
    <t>23.02.2024</t>
  </si>
  <si>
    <t>Velha Maintanance</t>
  </si>
  <si>
    <t>11:00am</t>
  </si>
  <si>
    <t>22.06.2024</t>
  </si>
  <si>
    <t>FFL</t>
  </si>
  <si>
    <t>Balajinagar</t>
  </si>
  <si>
    <t>7:55am</t>
  </si>
  <si>
    <t>8:40am</t>
  </si>
  <si>
    <t>03.08.2025</t>
  </si>
  <si>
    <t>4:00pm</t>
  </si>
  <si>
    <t>5:30PM</t>
  </si>
  <si>
    <t>Total</t>
  </si>
  <si>
    <t>PUBLICATION</t>
  </si>
  <si>
    <t>CV2025080067</t>
  </si>
  <si>
    <t>CV2025080068</t>
  </si>
  <si>
    <t>DEITY FESTIVAL DECORATION</t>
  </si>
  <si>
    <t>Amount</t>
  </si>
  <si>
    <t>CV2025080069</t>
  </si>
  <si>
    <t>05.08.2025</t>
  </si>
  <si>
    <t>10:58AM</t>
  </si>
  <si>
    <t>11:30PM</t>
  </si>
  <si>
    <t>VRL/Pisoli</t>
  </si>
  <si>
    <t>06.08.2025</t>
  </si>
  <si>
    <t>2:30pm</t>
  </si>
  <si>
    <t>6:25pm</t>
  </si>
  <si>
    <t xml:space="preserve">Usage Charges </t>
  </si>
  <si>
    <t>Mangalwar Peth</t>
  </si>
  <si>
    <t>23.08.2025</t>
  </si>
  <si>
    <t>5:10pm</t>
  </si>
  <si>
    <t>25.08.2025</t>
  </si>
  <si>
    <t>Pune Station</t>
  </si>
  <si>
    <t>10:35am</t>
  </si>
  <si>
    <t>Ramkrisna Vittal Pr</t>
  </si>
  <si>
    <t>6:40pm</t>
  </si>
  <si>
    <t xml:space="preserve">KM Out </t>
  </si>
  <si>
    <t>KM In</t>
  </si>
  <si>
    <t>Total Km</t>
  </si>
  <si>
    <t xml:space="preserve">Total </t>
  </si>
  <si>
    <t>Madan Mohan Pr</t>
  </si>
  <si>
    <t>FOOD FOR LIFE - DISTRIBUTION</t>
  </si>
  <si>
    <t>Budget Code Balance nhi hai</t>
  </si>
  <si>
    <t>EVENT MANAGEMENT</t>
  </si>
  <si>
    <t>29.08.2025</t>
  </si>
  <si>
    <t>Loni MIT</t>
  </si>
  <si>
    <t>10:31PM</t>
  </si>
  <si>
    <t>1:50PM</t>
  </si>
  <si>
    <t>Ramkrishna Vittak Pr</t>
  </si>
  <si>
    <t>13.08.2025</t>
  </si>
  <si>
    <t>14.08.2025</t>
  </si>
  <si>
    <t>Mumbai</t>
  </si>
  <si>
    <t>12:17pm</t>
  </si>
  <si>
    <t>7:29pm</t>
  </si>
  <si>
    <t>1:00am</t>
  </si>
  <si>
    <t>3:25pm</t>
  </si>
  <si>
    <t>4:10pm</t>
  </si>
  <si>
    <t>Kiran</t>
  </si>
  <si>
    <t>Yogesh Pr</t>
  </si>
  <si>
    <t>IDT from Project</t>
  </si>
  <si>
    <t>CV2025080640</t>
  </si>
  <si>
    <t>Find Out-brought clean material</t>
  </si>
  <si>
    <t>30.08.2025</t>
  </si>
  <si>
    <t>Kaustubha Pr</t>
  </si>
  <si>
    <t>Air Port</t>
  </si>
  <si>
    <t>12:53am</t>
  </si>
  <si>
    <t>2:30am</t>
  </si>
  <si>
    <t>CV2025080666</t>
  </si>
  <si>
    <t>310/- patti bending on karton box</t>
  </si>
  <si>
    <t>CV2025080667</t>
  </si>
  <si>
    <t>01.09.2025</t>
  </si>
  <si>
    <t>Achintya Balaram Pr</t>
  </si>
  <si>
    <t>Datta Wadi</t>
  </si>
  <si>
    <t>ANIL</t>
  </si>
  <si>
    <t>02.09.2025</t>
  </si>
  <si>
    <t>Sanak Sanatan Pr</t>
  </si>
  <si>
    <t>Shivaji Nagar</t>
  </si>
  <si>
    <t>9:45PM</t>
  </si>
  <si>
    <t>Dharma Raj</t>
  </si>
  <si>
    <t>08.09.2025</t>
  </si>
  <si>
    <t>Shailesh Pr</t>
  </si>
  <si>
    <t>Khadi Machine</t>
  </si>
  <si>
    <t>5:11pm</t>
  </si>
  <si>
    <t>5:30pm</t>
  </si>
  <si>
    <t>Lavvkush Pr</t>
  </si>
  <si>
    <t>VRL Pisoli</t>
  </si>
  <si>
    <t>5:05PM</t>
  </si>
  <si>
    <t>5:45PM</t>
  </si>
  <si>
    <t>Sudamanath Pr</t>
  </si>
  <si>
    <t>24.09.2027</t>
  </si>
  <si>
    <t>Kamyan Pr</t>
  </si>
  <si>
    <t>Bibwewadi</t>
  </si>
  <si>
    <t>Kiran Pr</t>
  </si>
  <si>
    <t>27.09.2027</t>
  </si>
  <si>
    <t>SSCP</t>
  </si>
  <si>
    <t>Uttam Nagar</t>
  </si>
  <si>
    <t>11:10am</t>
  </si>
  <si>
    <t>11.10.2025</t>
  </si>
  <si>
    <t>Lavkush Pr</t>
  </si>
  <si>
    <t>11:35AM</t>
  </si>
  <si>
    <t>12:30PM</t>
  </si>
  <si>
    <t>10.10.2025</t>
  </si>
  <si>
    <t>Market Yard/Post Office</t>
  </si>
  <si>
    <t>12:10PM</t>
  </si>
  <si>
    <t xml:space="preserve">Total- </t>
  </si>
  <si>
    <t>CV2025100421</t>
  </si>
  <si>
    <t>CV2025100422</t>
  </si>
  <si>
    <t>CV2025100423</t>
  </si>
  <si>
    <t xml:space="preserve">CV2025100428 </t>
  </si>
  <si>
    <t>CV2025100437</t>
  </si>
  <si>
    <t>Damodar Maintenance</t>
  </si>
  <si>
    <t>CV2025100438</t>
  </si>
  <si>
    <t>12:20pm</t>
  </si>
  <si>
    <t>12:51PM</t>
  </si>
  <si>
    <t>4:45pm</t>
  </si>
  <si>
    <t>5:20pm</t>
  </si>
  <si>
    <t>12:56pm</t>
  </si>
  <si>
    <t>30.10.2025</t>
  </si>
  <si>
    <t>12:05PM</t>
  </si>
  <si>
    <t>1:30PM</t>
  </si>
  <si>
    <t>Yugal Shyam Pr</t>
  </si>
  <si>
    <t>8:25am</t>
  </si>
  <si>
    <t>10:50am</t>
  </si>
  <si>
    <t>Mukund Pr</t>
  </si>
  <si>
    <t>Department</t>
  </si>
  <si>
    <t>OUT READING</t>
  </si>
  <si>
    <t>In Reading</t>
  </si>
  <si>
    <t>Time Out</t>
  </si>
  <si>
    <t>Time In</t>
  </si>
  <si>
    <t>Driver Name</t>
  </si>
  <si>
    <t>K K  Market/Stationery</t>
  </si>
  <si>
    <t>Janmastami Festival</t>
  </si>
  <si>
    <t>11:40am</t>
  </si>
  <si>
    <t>04.11.2025</t>
  </si>
  <si>
    <t>G. Godown</t>
  </si>
  <si>
    <t>7:20pm</t>
  </si>
  <si>
    <t>7:35pm</t>
  </si>
  <si>
    <t>06.11.2025</t>
  </si>
  <si>
    <t>Station/Transportation</t>
  </si>
  <si>
    <t>3:35pm</t>
  </si>
  <si>
    <t>06.11.2026</t>
  </si>
  <si>
    <t>5:35pm</t>
  </si>
  <si>
    <t>=P18=H4*L4</t>
  </si>
  <si>
    <t>08.11.2025</t>
  </si>
  <si>
    <t>09.11.2025</t>
  </si>
  <si>
    <t>VRL/Pisoli/Karnataka</t>
  </si>
  <si>
    <t>Swargate/Latur</t>
  </si>
  <si>
    <t>6:05pm</t>
  </si>
  <si>
    <t>1:120pm</t>
  </si>
  <si>
    <t>13.11.2025</t>
  </si>
  <si>
    <t>10:20am</t>
  </si>
  <si>
    <t>Floor Cleaning</t>
  </si>
  <si>
    <t>Akash Pr</t>
  </si>
  <si>
    <t>Dayalunitai Pr</t>
  </si>
  <si>
    <t>VRL/Pisoli/10 Boxes Bring</t>
  </si>
  <si>
    <t>12:10pm</t>
  </si>
  <si>
    <t>1:35pm</t>
  </si>
  <si>
    <t>20.11.2025</t>
  </si>
  <si>
    <t>Sri Gaurabhat Pr</t>
  </si>
  <si>
    <t>Kondhwa/Booklets-Bring</t>
  </si>
  <si>
    <t>10:15am</t>
  </si>
  <si>
    <t>23.11.2025</t>
  </si>
  <si>
    <t>Swargate/Station/Hadapsar/Box 28/krishnka Travels -Goa</t>
  </si>
  <si>
    <t>9:00pm</t>
  </si>
  <si>
    <t>Swargate/12 Boxes</t>
  </si>
  <si>
    <t>24.11.2025</t>
  </si>
  <si>
    <t>7:55pm</t>
  </si>
  <si>
    <t>28.11.2025</t>
  </si>
  <si>
    <t>VRL-Pisoli</t>
  </si>
  <si>
    <t>3:30pm</t>
  </si>
  <si>
    <t>4:30pm</t>
  </si>
  <si>
    <t>02.12.2025</t>
  </si>
  <si>
    <t>Rutwik Pr</t>
  </si>
  <si>
    <t>Vrl Pisoli</t>
  </si>
  <si>
    <t>5:55pm</t>
  </si>
  <si>
    <t>2:21PM</t>
  </si>
  <si>
    <t>Kondhawa</t>
  </si>
  <si>
    <t>10:40am</t>
  </si>
  <si>
    <t>11:20am</t>
  </si>
  <si>
    <t>1:30pm</t>
  </si>
  <si>
    <t>02.11.2025</t>
  </si>
  <si>
    <t>23.12.2025</t>
  </si>
  <si>
    <t>2:10PM</t>
  </si>
  <si>
    <t>29.12.2025</t>
  </si>
  <si>
    <t>Gaurang Pran Pr</t>
  </si>
  <si>
    <t>30.12.2025</t>
  </si>
  <si>
    <t>Flower Market</t>
  </si>
  <si>
    <t>12:263pm</t>
  </si>
  <si>
    <t>7:10am</t>
  </si>
  <si>
    <t>8:50am</t>
  </si>
  <si>
    <t>27.12.2025</t>
  </si>
  <si>
    <t>Pooja Thali</t>
  </si>
  <si>
    <t>3:40PM</t>
  </si>
  <si>
    <t>Shubha Kirishna Pr</t>
  </si>
  <si>
    <t>31.12.2025</t>
  </si>
  <si>
    <t>Station</t>
  </si>
  <si>
    <t>4:15pm</t>
  </si>
  <si>
    <t>5:25pm</t>
  </si>
  <si>
    <t>12:50PM</t>
  </si>
  <si>
    <t>1:45PM</t>
  </si>
  <si>
    <t>03.12.2026</t>
  </si>
  <si>
    <t>3:45pm</t>
  </si>
  <si>
    <t>6:32am</t>
  </si>
  <si>
    <t>8:23am</t>
  </si>
  <si>
    <t>09.12.2025</t>
  </si>
  <si>
    <t>Sri Gaurabhak Pr</t>
  </si>
  <si>
    <t>06.01.2026</t>
  </si>
  <si>
    <t>01.02.2026</t>
  </si>
  <si>
    <t>10:45am</t>
  </si>
  <si>
    <t>24.01.2026</t>
  </si>
  <si>
    <t>Railway Stion</t>
  </si>
  <si>
    <t>6:24pm</t>
  </si>
  <si>
    <t>Gajanan Pr</t>
  </si>
  <si>
    <t>29.01.2026</t>
  </si>
  <si>
    <t>11:45AM</t>
  </si>
  <si>
    <t>30.01.2026</t>
  </si>
  <si>
    <t>Gokul Nagar</t>
  </si>
  <si>
    <t>12:05pm</t>
  </si>
  <si>
    <t>1:15pm</t>
  </si>
  <si>
    <t>Prabhupada</t>
  </si>
  <si>
    <t>Garuda</t>
  </si>
  <si>
    <t>10:10pm</t>
  </si>
  <si>
    <t xml:space="preserve">7:00Am </t>
  </si>
  <si>
    <t>9:00AM</t>
  </si>
  <si>
    <t>Gajanan</t>
  </si>
  <si>
    <t>04.02.2026</t>
  </si>
  <si>
    <t>4:50PM</t>
  </si>
  <si>
    <t>6:30PM</t>
  </si>
  <si>
    <t>11.02.2026</t>
  </si>
  <si>
    <t>5:45pm</t>
  </si>
  <si>
    <t>12.02.2026</t>
  </si>
  <si>
    <t>11:30pm</t>
  </si>
  <si>
    <t>Vehicle</t>
  </si>
  <si>
    <t>SP Tskp Bus</t>
  </si>
  <si>
    <t>25.09.2025</t>
  </si>
  <si>
    <t>27.09.2025</t>
  </si>
  <si>
    <t>28.09.2025</t>
  </si>
  <si>
    <t>08.12.2025</t>
  </si>
  <si>
    <t>BALAJI DEITY DEPT.</t>
  </si>
  <si>
    <t xml:space="preserve">Vehicle </t>
  </si>
  <si>
    <t>Prabhupada Bus</t>
  </si>
  <si>
    <t>Prabhpada bus</t>
  </si>
  <si>
    <t>Jay Jagnnath Bus</t>
  </si>
  <si>
    <t>Swargate</t>
  </si>
  <si>
    <t>Daud Railway ST.</t>
  </si>
  <si>
    <t>3:50am</t>
  </si>
  <si>
    <t>3:40am</t>
  </si>
  <si>
    <t>4:45am</t>
  </si>
  <si>
    <t>7:10pm</t>
  </si>
  <si>
    <t>6:30pm</t>
  </si>
  <si>
    <t>CV2026020426</t>
  </si>
  <si>
    <t>CV2026020427</t>
  </si>
  <si>
    <t>CV2026020428</t>
  </si>
  <si>
    <t>CV2026020429</t>
  </si>
  <si>
    <t>CV2026020430</t>
  </si>
  <si>
    <t>CV2026020431</t>
  </si>
  <si>
    <t>CV2026020508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</si>
</sst>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h:mm\ AM/PM;@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164" fontId="2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 applyAlignment="1">
      <alignment horizontal="center"/>
    </xf>
    <xf numFmtId="20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5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49" fontId="1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49" fontId="1" fillId="5" borderId="2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0" borderId="0" xfId="0" applyFont="1"/>
    <xf numFmtId="164" fontId="2" fillId="2" borderId="1" xfId="0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20" fontId="0" fillId="2" borderId="1" xfId="0" applyNumberFormat="1" applyFill="1" applyBorder="1"/>
    <xf numFmtId="0" fontId="0" fillId="6" borderId="1" xfId="0" applyFill="1" applyBorder="1"/>
    <xf numFmtId="0" fontId="0" fillId="6" borderId="0" xfId="0" applyFill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0" xfId="0" applyFill="1"/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/>
    <xf numFmtId="0" fontId="0" fillId="2" borderId="3" xfId="0" applyFill="1" applyBorder="1"/>
    <xf numFmtId="0" fontId="1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5" borderId="2" xfId="0" applyFill="1" applyBorder="1"/>
    <xf numFmtId="0" fontId="0" fillId="5" borderId="5" xfId="0" applyFill="1" applyBorder="1"/>
    <xf numFmtId="0" fontId="0" fillId="5" borderId="4" xfId="0" applyFill="1" applyBorder="1"/>
    <xf numFmtId="49" fontId="0" fillId="5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/>
    <xf numFmtId="0" fontId="1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/>
    <xf numFmtId="49" fontId="1" fillId="5" borderId="4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20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0" borderId="0" xfId="0" applyFont="1"/>
    <xf numFmtId="0" fontId="0" fillId="0" borderId="4" xfId="0" applyBorder="1"/>
    <xf numFmtId="0" fontId="0" fillId="0" borderId="2" xfId="0" applyBorder="1"/>
    <xf numFmtId="0" fontId="0" fillId="2" borderId="2" xfId="0" applyFill="1" applyBorder="1"/>
    <xf numFmtId="0" fontId="4" fillId="3" borderId="1" xfId="0" applyFont="1" applyFill="1" applyBorder="1"/>
    <xf numFmtId="0" fontId="0" fillId="5" borderId="5" xfId="0" applyFill="1" applyBorder="1" applyAlignment="1">
      <alignment horizontal="center"/>
    </xf>
    <xf numFmtId="49" fontId="0" fillId="0" borderId="1" xfId="0" applyNumberFormat="1" applyBorder="1"/>
    <xf numFmtId="0" fontId="0" fillId="4" borderId="0" xfId="0" applyFill="1"/>
    <xf numFmtId="0" fontId="5" fillId="4" borderId="0" xfId="0" applyFont="1" applyFill="1"/>
    <xf numFmtId="0" fontId="2" fillId="0" borderId="1" xfId="0" applyFont="1" applyBorder="1" applyAlignment="1">
      <alignment horizontal="center" wrapText="1"/>
    </xf>
    <xf numFmtId="0" fontId="0" fillId="5" borderId="0" xfId="0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0" fontId="0" fillId="0" borderId="7" xfId="0" applyBorder="1"/>
    <xf numFmtId="0" fontId="0" fillId="0" borderId="6" xfId="0" applyBorder="1"/>
    <xf numFmtId="49" fontId="0" fillId="2" borderId="1" xfId="0" applyNumberFormat="1" applyFill="1" applyBorder="1"/>
    <xf numFmtId="49" fontId="0" fillId="3" borderId="1" xfId="0" applyNumberFormat="1" applyFill="1" applyBorder="1"/>
    <xf numFmtId="0" fontId="0" fillId="3" borderId="0" xfId="0" applyFill="1"/>
    <xf numFmtId="14" fontId="0" fillId="0" borderId="1" xfId="0" applyNumberFormat="1" applyBorder="1"/>
    <xf numFmtId="0" fontId="1" fillId="2" borderId="0" xfId="0" applyFont="1" applyFill="1" applyAlignment="1">
      <alignment horizontal="center" vertical="center" wrapText="1"/>
    </xf>
    <xf numFmtId="49" fontId="0" fillId="2" borderId="3" xfId="0" applyNumberFormat="1" applyFill="1" applyBorder="1"/>
    <xf numFmtId="14" fontId="0" fillId="2" borderId="1" xfId="0" applyNumberFormat="1" applyFill="1" applyBorder="1" applyAlignment="1">
      <alignment horizontal="left"/>
    </xf>
    <xf numFmtId="0" fontId="3" fillId="5" borderId="0" xfId="0" applyFont="1" applyFill="1"/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0" xfId="0" applyFill="1"/>
    <xf numFmtId="49" fontId="3" fillId="0" borderId="0" xfId="0" applyNumberFormat="1" applyFont="1" applyFill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14" fontId="0" fillId="4" borderId="1" xfId="0" applyNumberFormat="1" applyFill="1" applyBorder="1"/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/>
    <xf numFmtId="49" fontId="3" fillId="4" borderId="1" xfId="0" applyNumberFormat="1" applyFont="1" applyFill="1" applyBorder="1"/>
    <xf numFmtId="0" fontId="0" fillId="0" borderId="3" xfId="0" applyBorder="1" applyAlignment="1">
      <alignment horizontal="center"/>
    </xf>
    <xf numFmtId="0" fontId="0" fillId="0" borderId="1" xfId="0" applyFill="1" applyBorder="1"/>
    <xf numFmtId="0" fontId="2" fillId="0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7"/>
  <sheetViews>
    <sheetView topLeftCell="E9" workbookViewId="0">
      <selection activeCell="A50" sqref="A50:R50"/>
    </sheetView>
  </sheetViews>
  <sheetFormatPr defaultRowHeight="15" x14ac:dyDescent="0.25"/>
  <cols>
    <col min="1" max="1" width="5.85546875" customWidth="1"/>
    <col min="2" max="2" width="10.140625" bestFit="1" customWidth="1"/>
    <col min="3" max="3" width="18.28515625" bestFit="1" customWidth="1"/>
    <col min="4" max="4" width="17.7109375" bestFit="1" customWidth="1"/>
    <col min="5" max="5" width="15.85546875" bestFit="1" customWidth="1"/>
    <col min="6" max="6" width="14" bestFit="1" customWidth="1"/>
    <col min="11" max="11" width="17" bestFit="1" customWidth="1"/>
    <col min="13" max="14" width="17" bestFit="1" customWidth="1"/>
    <col min="15" max="15" width="7.140625" customWidth="1"/>
    <col min="16" max="16" width="16.5703125" customWidth="1"/>
    <col min="17" max="17" width="18" customWidth="1"/>
  </cols>
  <sheetData>
    <row r="1" spans="1:17" s="8" customFormat="1" x14ac:dyDescent="0.25">
      <c r="B1" s="8" t="s">
        <v>105</v>
      </c>
      <c r="C1" s="8" t="s">
        <v>99</v>
      </c>
      <c r="E1" s="8" t="s">
        <v>102</v>
      </c>
      <c r="H1" s="9" t="s">
        <v>100</v>
      </c>
      <c r="L1" s="8" t="s">
        <v>101</v>
      </c>
      <c r="P1" s="8" t="s">
        <v>98</v>
      </c>
      <c r="Q1" s="8" t="s">
        <v>104</v>
      </c>
    </row>
    <row r="2" spans="1:17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 x14ac:dyDescent="0.25">
      <c r="A3" s="41"/>
      <c r="B3" s="3" t="s">
        <v>0</v>
      </c>
      <c r="C3" s="3" t="s">
        <v>1</v>
      </c>
      <c r="D3" s="3" t="s">
        <v>1</v>
      </c>
      <c r="E3" s="3" t="s">
        <v>2</v>
      </c>
      <c r="F3" s="3">
        <v>72864</v>
      </c>
      <c r="G3" s="3">
        <v>72876</v>
      </c>
      <c r="H3" s="1">
        <f t="shared" ref="H3" si="0">G3-F3</f>
        <v>12</v>
      </c>
      <c r="I3" s="3" t="s">
        <v>3</v>
      </c>
      <c r="J3" s="3" t="s">
        <v>4</v>
      </c>
      <c r="K3" s="3" t="s">
        <v>5</v>
      </c>
      <c r="L3" s="6">
        <v>18</v>
      </c>
      <c r="M3" s="3"/>
      <c r="N3" s="3"/>
      <c r="O3" s="3"/>
      <c r="P3" s="2">
        <f t="shared" ref="P3" si="1">H3*L3</f>
        <v>216</v>
      </c>
      <c r="Q3" s="3"/>
    </row>
    <row r="4" spans="1:17" ht="15.75" x14ac:dyDescent="0.25">
      <c r="A4" s="41">
        <v>4</v>
      </c>
      <c r="B4" s="3" t="s">
        <v>130</v>
      </c>
      <c r="C4" s="16" t="s">
        <v>131</v>
      </c>
      <c r="D4" s="16" t="s">
        <v>1</v>
      </c>
      <c r="E4" s="16" t="s">
        <v>132</v>
      </c>
      <c r="F4" s="16">
        <v>76151</v>
      </c>
      <c r="G4" s="16">
        <v>76153</v>
      </c>
      <c r="H4" s="20">
        <f>G4-F4</f>
        <v>2</v>
      </c>
      <c r="I4" s="16"/>
      <c r="J4" s="16"/>
      <c r="K4" s="16"/>
      <c r="L4" s="6">
        <v>18</v>
      </c>
      <c r="M4" s="16"/>
      <c r="N4" s="16" t="s">
        <v>133</v>
      </c>
      <c r="O4" s="18"/>
      <c r="P4" s="7">
        <f>H4*L4</f>
        <v>36</v>
      </c>
      <c r="Q4" s="21">
        <v>36</v>
      </c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0"/>
      <c r="M5" s="5"/>
      <c r="N5" s="5"/>
      <c r="O5" s="5"/>
      <c r="P5" s="5"/>
      <c r="Q5" s="5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0"/>
      <c r="M6" s="5"/>
      <c r="N6" s="5"/>
      <c r="O6" s="5"/>
      <c r="P6" s="5"/>
      <c r="Q6" s="5"/>
    </row>
    <row r="7" spans="1:17" ht="15.75" x14ac:dyDescent="0.25">
      <c r="A7" s="41"/>
      <c r="B7" s="3" t="s">
        <v>6</v>
      </c>
      <c r="C7" s="3" t="s">
        <v>7</v>
      </c>
      <c r="D7" s="3" t="s">
        <v>7</v>
      </c>
      <c r="E7" s="3" t="s">
        <v>2</v>
      </c>
      <c r="F7" s="3">
        <v>73441</v>
      </c>
      <c r="G7" s="3">
        <v>73464</v>
      </c>
      <c r="H7" s="1">
        <f t="shared" ref="H7" si="2">G7-F7</f>
        <v>23</v>
      </c>
      <c r="I7" s="3" t="s">
        <v>8</v>
      </c>
      <c r="J7" s="3" t="s">
        <v>9</v>
      </c>
      <c r="K7" s="3" t="s">
        <v>10</v>
      </c>
      <c r="L7" s="6">
        <v>18</v>
      </c>
      <c r="M7" s="3"/>
      <c r="N7" s="3"/>
      <c r="O7" s="3"/>
      <c r="P7" s="2">
        <f t="shared" ref="P7" si="3">H7*L7</f>
        <v>414</v>
      </c>
      <c r="Q7" s="3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10"/>
      <c r="M8" s="5"/>
      <c r="N8" s="5"/>
      <c r="O8" s="5"/>
      <c r="P8" s="5"/>
      <c r="Q8" s="5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10"/>
      <c r="M9" s="5"/>
      <c r="N9" s="5"/>
      <c r="O9" s="5"/>
      <c r="P9" s="5"/>
      <c r="Q9" s="5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10"/>
      <c r="M10" s="5"/>
      <c r="N10" s="5"/>
      <c r="O10" s="5"/>
      <c r="P10" s="5"/>
      <c r="Q10" s="5"/>
    </row>
    <row r="11" spans="1:17" ht="15.75" x14ac:dyDescent="0.25">
      <c r="A11" s="41"/>
      <c r="B11" s="3" t="s">
        <v>11</v>
      </c>
      <c r="C11" s="3" t="s">
        <v>12</v>
      </c>
      <c r="D11" s="3" t="s">
        <v>12</v>
      </c>
      <c r="E11" s="3" t="s">
        <v>13</v>
      </c>
      <c r="F11" s="3">
        <v>75035</v>
      </c>
      <c r="G11" s="3">
        <v>75038</v>
      </c>
      <c r="H11" s="1">
        <f t="shared" ref="H11" si="4">G11-F11</f>
        <v>3</v>
      </c>
      <c r="I11" s="3" t="s">
        <v>14</v>
      </c>
      <c r="J11" s="3" t="s">
        <v>15</v>
      </c>
      <c r="K11" s="3" t="s">
        <v>16</v>
      </c>
      <c r="L11" s="6">
        <v>18</v>
      </c>
      <c r="M11" s="3"/>
      <c r="N11" s="3"/>
      <c r="O11" s="3"/>
      <c r="P11" s="2">
        <f t="shared" ref="P11" si="5">H11*L11</f>
        <v>54</v>
      </c>
      <c r="Q11" s="3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10"/>
      <c r="M12" s="5"/>
      <c r="N12" s="5"/>
      <c r="O12" s="5"/>
      <c r="P12" s="5"/>
      <c r="Q12" s="5"/>
    </row>
    <row r="13" spans="1:1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10"/>
      <c r="M13" s="5"/>
      <c r="N13" s="5"/>
      <c r="O13" s="5"/>
      <c r="P13" s="5"/>
      <c r="Q13" s="5"/>
    </row>
    <row r="14" spans="1:17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10"/>
      <c r="M14" s="5"/>
      <c r="N14" s="5"/>
      <c r="O14" s="5"/>
      <c r="P14" s="5"/>
      <c r="Q14" s="5"/>
    </row>
    <row r="15" spans="1:17" ht="15.75" x14ac:dyDescent="0.25">
      <c r="A15" s="41"/>
      <c r="B15" s="3" t="s">
        <v>17</v>
      </c>
      <c r="C15" s="3" t="s">
        <v>18</v>
      </c>
      <c r="D15" s="3" t="s">
        <v>18</v>
      </c>
      <c r="E15" s="3" t="s">
        <v>2</v>
      </c>
      <c r="F15" s="3">
        <v>75043</v>
      </c>
      <c r="G15" s="3">
        <v>75056</v>
      </c>
      <c r="H15" s="1">
        <f t="shared" ref="H15" si="6">G15-F15</f>
        <v>13</v>
      </c>
      <c r="I15" s="3" t="s">
        <v>19</v>
      </c>
      <c r="J15" s="3" t="s">
        <v>20</v>
      </c>
      <c r="K15" s="3" t="s">
        <v>21</v>
      </c>
      <c r="L15" s="6">
        <v>18</v>
      </c>
      <c r="M15" s="3"/>
      <c r="N15" s="3"/>
      <c r="O15" s="3"/>
      <c r="P15" s="2">
        <f t="shared" ref="P15" si="7">H15*L15</f>
        <v>234</v>
      </c>
      <c r="Q15" s="3"/>
    </row>
    <row r="16" spans="1:17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10"/>
      <c r="M16" s="5"/>
      <c r="N16" s="5"/>
      <c r="O16" s="5"/>
      <c r="P16" s="5"/>
      <c r="Q16" s="5"/>
    </row>
    <row r="17" spans="1:17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10"/>
      <c r="M17" s="5"/>
      <c r="N17" s="5"/>
      <c r="O17" s="5"/>
      <c r="P17" s="5"/>
      <c r="Q17" s="5"/>
    </row>
    <row r="18" spans="1:17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10"/>
      <c r="M18" s="5"/>
      <c r="N18" s="5"/>
      <c r="O18" s="5"/>
      <c r="P18" s="5"/>
      <c r="Q18" s="5"/>
    </row>
    <row r="19" spans="1:17" ht="15.75" x14ac:dyDescent="0.25">
      <c r="A19" s="41"/>
      <c r="B19" s="3" t="s">
        <v>22</v>
      </c>
      <c r="C19" s="3" t="s">
        <v>23</v>
      </c>
      <c r="D19" s="3" t="s">
        <v>23</v>
      </c>
      <c r="E19" s="3" t="s">
        <v>2</v>
      </c>
      <c r="F19" s="3">
        <v>75057</v>
      </c>
      <c r="G19" s="3">
        <v>75071</v>
      </c>
      <c r="H19" s="1">
        <f t="shared" ref="H19:H20" si="8">G19-F19</f>
        <v>14</v>
      </c>
      <c r="I19" s="3" t="s">
        <v>24</v>
      </c>
      <c r="J19" s="3" t="s">
        <v>25</v>
      </c>
      <c r="K19" s="3" t="s">
        <v>26</v>
      </c>
      <c r="L19" s="6">
        <v>18</v>
      </c>
      <c r="M19" s="3"/>
      <c r="N19" s="3"/>
      <c r="O19" s="3"/>
      <c r="P19" s="2">
        <f t="shared" ref="P19:P20" si="9">H19*L19</f>
        <v>252</v>
      </c>
      <c r="Q19" s="3"/>
    </row>
    <row r="20" spans="1:17" ht="15.75" x14ac:dyDescent="0.25">
      <c r="A20" s="41"/>
      <c r="B20" s="3" t="s">
        <v>22</v>
      </c>
      <c r="C20" s="3" t="s">
        <v>23</v>
      </c>
      <c r="D20" s="3" t="s">
        <v>23</v>
      </c>
      <c r="E20" s="3" t="s">
        <v>2</v>
      </c>
      <c r="F20" s="3">
        <v>75071</v>
      </c>
      <c r="G20" s="3">
        <v>75084</v>
      </c>
      <c r="H20" s="1">
        <f t="shared" si="8"/>
        <v>13</v>
      </c>
      <c r="I20" s="3" t="s">
        <v>27</v>
      </c>
      <c r="J20" s="3" t="s">
        <v>28</v>
      </c>
      <c r="K20" s="3" t="s">
        <v>21</v>
      </c>
      <c r="L20" s="6">
        <v>18</v>
      </c>
      <c r="M20" s="3"/>
      <c r="N20" s="3"/>
      <c r="O20" s="3"/>
      <c r="P20" s="2">
        <f t="shared" si="9"/>
        <v>234</v>
      </c>
      <c r="Q20" s="3"/>
    </row>
    <row r="21" spans="1:17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10"/>
      <c r="M21" s="5"/>
      <c r="N21" s="5"/>
      <c r="O21" s="5"/>
      <c r="P21" s="5"/>
      <c r="Q21" s="5"/>
    </row>
    <row r="22" spans="1:17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10"/>
      <c r="M22" s="5"/>
      <c r="N22" s="5"/>
      <c r="O22" s="5"/>
      <c r="P22" s="5"/>
      <c r="Q22" s="5"/>
    </row>
    <row r="23" spans="1:17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10"/>
      <c r="M23" s="5"/>
      <c r="N23" s="5"/>
      <c r="O23" s="5"/>
      <c r="P23" s="5"/>
      <c r="Q23" s="5"/>
    </row>
    <row r="24" spans="1:17" ht="15.75" x14ac:dyDescent="0.25">
      <c r="A24" s="41"/>
      <c r="B24" s="3" t="s">
        <v>29</v>
      </c>
      <c r="C24" s="3" t="s">
        <v>30</v>
      </c>
      <c r="D24" s="3" t="s">
        <v>30</v>
      </c>
      <c r="E24" s="3"/>
      <c r="F24" s="3">
        <v>75134</v>
      </c>
      <c r="G24" s="3">
        <v>75158</v>
      </c>
      <c r="H24" s="1">
        <f t="shared" ref="H24" si="10">G24-F24</f>
        <v>24</v>
      </c>
      <c r="I24" s="3" t="s">
        <v>31</v>
      </c>
      <c r="J24" s="3" t="s">
        <v>32</v>
      </c>
      <c r="K24" s="3" t="s">
        <v>33</v>
      </c>
      <c r="L24" s="6">
        <v>18</v>
      </c>
      <c r="M24" s="3"/>
      <c r="N24" s="3"/>
      <c r="O24" s="3"/>
      <c r="P24" s="2">
        <f t="shared" ref="P24" si="11">H24*L24</f>
        <v>432</v>
      </c>
      <c r="Q24" s="3"/>
    </row>
    <row r="25" spans="1:17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10"/>
      <c r="M25" s="5"/>
      <c r="N25" s="5"/>
      <c r="O25" s="5"/>
      <c r="P25" s="5"/>
      <c r="Q25" s="5"/>
    </row>
    <row r="26" spans="1:17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10"/>
      <c r="M26" s="5"/>
      <c r="N26" s="5"/>
      <c r="O26" s="5"/>
      <c r="P26" s="5"/>
      <c r="Q26" s="5"/>
    </row>
    <row r="27" spans="1:17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10"/>
      <c r="M27" s="5"/>
      <c r="N27" s="5"/>
      <c r="O27" s="5"/>
      <c r="P27" s="5"/>
      <c r="Q27" s="5"/>
    </row>
    <row r="28" spans="1:17" s="28" customFormat="1" ht="15.75" x14ac:dyDescent="0.25">
      <c r="A28" s="41"/>
      <c r="B28" s="25" t="s">
        <v>82</v>
      </c>
      <c r="C28" s="25" t="s">
        <v>83</v>
      </c>
      <c r="D28" s="25" t="s">
        <v>84</v>
      </c>
      <c r="E28" s="25" t="s">
        <v>78</v>
      </c>
      <c r="F28" s="25">
        <v>75325</v>
      </c>
      <c r="G28" s="25">
        <v>75371</v>
      </c>
      <c r="H28" s="26">
        <v>46</v>
      </c>
      <c r="I28" s="25" t="s">
        <v>53</v>
      </c>
      <c r="J28" s="25" t="s">
        <v>85</v>
      </c>
      <c r="K28" s="25" t="s">
        <v>86</v>
      </c>
      <c r="L28" s="27">
        <v>18</v>
      </c>
      <c r="M28" s="25"/>
      <c r="N28" s="25"/>
      <c r="O28" s="25"/>
      <c r="P28" s="26">
        <v>828</v>
      </c>
      <c r="Q28" s="25"/>
    </row>
    <row r="29" spans="1:17" s="28" customFormat="1" ht="15.75" x14ac:dyDescent="0.25">
      <c r="A29" s="41"/>
      <c r="B29" s="25" t="s">
        <v>76</v>
      </c>
      <c r="C29" s="25" t="s">
        <v>77</v>
      </c>
      <c r="D29" s="25" t="s">
        <v>77</v>
      </c>
      <c r="E29" s="25" t="s">
        <v>78</v>
      </c>
      <c r="F29" s="25">
        <v>75805</v>
      </c>
      <c r="G29" s="25">
        <v>75857</v>
      </c>
      <c r="H29" s="26">
        <f t="shared" ref="H29" si="12">G29-F29</f>
        <v>52</v>
      </c>
      <c r="I29" s="25" t="s">
        <v>79</v>
      </c>
      <c r="J29" s="25" t="s">
        <v>80</v>
      </c>
      <c r="K29" s="25" t="s">
        <v>81</v>
      </c>
      <c r="L29" s="27">
        <v>18</v>
      </c>
      <c r="M29" s="25"/>
      <c r="N29" s="25"/>
      <c r="O29" s="25"/>
      <c r="P29" s="29">
        <f t="shared" ref="P29" si="13">H29*L29</f>
        <v>936</v>
      </c>
    </row>
    <row r="30" spans="1:17" ht="15.75" x14ac:dyDescent="0.25">
      <c r="C30" s="16"/>
      <c r="D30" s="16"/>
      <c r="E30" s="16"/>
      <c r="F30" s="16"/>
      <c r="G30" s="16"/>
      <c r="H30" s="17"/>
      <c r="I30" s="16"/>
      <c r="J30" s="16"/>
      <c r="K30" s="16"/>
      <c r="L30" s="18"/>
      <c r="M30" s="16"/>
      <c r="N30" s="16"/>
      <c r="O30" s="16"/>
      <c r="P30" s="15">
        <f>SUM(P28:P29)</f>
        <v>1764</v>
      </c>
      <c r="Q30" s="13" t="s">
        <v>111</v>
      </c>
    </row>
    <row r="31" spans="1:17" ht="15.75" x14ac:dyDescent="0.25">
      <c r="C31" s="16"/>
      <c r="D31" s="16"/>
      <c r="E31" s="16"/>
      <c r="F31" s="16"/>
      <c r="G31" s="16"/>
      <c r="H31" s="17"/>
      <c r="I31" s="16"/>
      <c r="J31" s="16"/>
      <c r="K31" s="16"/>
      <c r="L31" s="18"/>
      <c r="M31" s="16"/>
      <c r="N31" s="16"/>
      <c r="O31" s="16"/>
      <c r="P31" s="19"/>
      <c r="Q31" s="16"/>
    </row>
    <row r="32" spans="1:17" s="28" customFormat="1" x14ac:dyDescent="0.25">
      <c r="A32" s="41"/>
      <c r="B32" s="28" t="s">
        <v>103</v>
      </c>
      <c r="C32" s="25" t="s">
        <v>92</v>
      </c>
      <c r="D32" s="25" t="s">
        <v>83</v>
      </c>
      <c r="E32" s="25" t="s">
        <v>93</v>
      </c>
      <c r="F32" s="25" t="s">
        <v>97</v>
      </c>
      <c r="G32" s="25"/>
      <c r="H32" s="25"/>
      <c r="I32" s="25" t="s">
        <v>94</v>
      </c>
      <c r="J32" s="25" t="s">
        <v>95</v>
      </c>
      <c r="K32" s="25"/>
      <c r="L32" s="27"/>
      <c r="M32" s="25" t="s">
        <v>90</v>
      </c>
      <c r="N32" s="27">
        <v>100</v>
      </c>
      <c r="O32" s="27">
        <v>6</v>
      </c>
      <c r="P32" s="30">
        <f t="shared" ref="P32" si="14">N32*O32</f>
        <v>600</v>
      </c>
    </row>
    <row r="33" spans="1:17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10"/>
      <c r="M33" s="5"/>
      <c r="N33" s="5"/>
      <c r="O33" s="5"/>
      <c r="P33" s="14">
        <v>600</v>
      </c>
      <c r="Q33" s="13" t="s">
        <v>112</v>
      </c>
    </row>
    <row r="34" spans="1:17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10"/>
      <c r="M34" s="5"/>
      <c r="N34" s="5"/>
      <c r="O34" s="5"/>
      <c r="P34" s="5"/>
      <c r="Q34" s="5"/>
    </row>
    <row r="35" spans="1:17" s="28" customFormat="1" ht="15.75" x14ac:dyDescent="0.25">
      <c r="A35" s="41"/>
      <c r="B35" s="25" t="s">
        <v>34</v>
      </c>
      <c r="C35" s="25" t="s">
        <v>35</v>
      </c>
      <c r="D35" s="25" t="s">
        <v>35</v>
      </c>
      <c r="E35" s="25" t="s">
        <v>36</v>
      </c>
      <c r="F35" s="25">
        <v>75158</v>
      </c>
      <c r="G35" s="25">
        <v>75178</v>
      </c>
      <c r="H35" s="31">
        <f t="shared" ref="H35" si="15">G35-F35</f>
        <v>20</v>
      </c>
      <c r="I35" s="25" t="s">
        <v>37</v>
      </c>
      <c r="J35" s="25" t="s">
        <v>38</v>
      </c>
      <c r="K35" s="25"/>
      <c r="L35" s="27">
        <v>18</v>
      </c>
      <c r="M35" s="25"/>
      <c r="N35" s="25"/>
      <c r="O35" s="25"/>
      <c r="P35" s="29">
        <f t="shared" ref="P35" si="16">H35*L35</f>
        <v>360</v>
      </c>
      <c r="Q35" s="25"/>
    </row>
    <row r="36" spans="1:17" s="28" customFormat="1" x14ac:dyDescent="0.25">
      <c r="A36" s="41"/>
      <c r="B36" s="25" t="s">
        <v>39</v>
      </c>
      <c r="C36" s="25" t="s">
        <v>35</v>
      </c>
      <c r="D36" s="25" t="s">
        <v>35</v>
      </c>
      <c r="E36" s="25" t="s">
        <v>40</v>
      </c>
      <c r="F36" s="25">
        <v>75430</v>
      </c>
      <c r="G36" s="25">
        <v>75468</v>
      </c>
      <c r="H36" s="30">
        <v>38</v>
      </c>
      <c r="I36" s="25" t="s">
        <v>41</v>
      </c>
      <c r="J36" s="25" t="s">
        <v>42</v>
      </c>
      <c r="K36" s="25" t="s">
        <v>43</v>
      </c>
      <c r="L36" s="27">
        <v>18</v>
      </c>
      <c r="M36" s="25"/>
      <c r="N36" s="25"/>
      <c r="O36" s="25"/>
      <c r="P36" s="30">
        <v>684</v>
      </c>
      <c r="Q36" s="25"/>
    </row>
    <row r="37" spans="1:17" s="28" customFormat="1" x14ac:dyDescent="0.25">
      <c r="A37" s="41"/>
      <c r="B37" s="25" t="s">
        <v>44</v>
      </c>
      <c r="C37" s="25" t="s">
        <v>35</v>
      </c>
      <c r="D37" s="25" t="s">
        <v>35</v>
      </c>
      <c r="E37" s="25" t="s">
        <v>40</v>
      </c>
      <c r="F37" s="25">
        <v>75480</v>
      </c>
      <c r="G37" s="25">
        <v>75554</v>
      </c>
      <c r="H37" s="30">
        <v>74</v>
      </c>
      <c r="I37" s="25" t="s">
        <v>45</v>
      </c>
      <c r="J37" s="25"/>
      <c r="K37" s="25" t="s">
        <v>43</v>
      </c>
      <c r="L37" s="27">
        <v>18</v>
      </c>
      <c r="M37" s="25"/>
      <c r="N37" s="25"/>
      <c r="O37" s="25"/>
      <c r="P37" s="30">
        <v>1332</v>
      </c>
      <c r="Q37" s="25"/>
    </row>
    <row r="38" spans="1:17" s="28" customFormat="1" ht="15.75" x14ac:dyDescent="0.25">
      <c r="A38" s="41"/>
      <c r="B38" s="25" t="s">
        <v>87</v>
      </c>
      <c r="C38" s="25" t="s">
        <v>35</v>
      </c>
      <c r="D38" s="25" t="s">
        <v>35</v>
      </c>
      <c r="E38" s="25" t="s">
        <v>96</v>
      </c>
      <c r="F38" s="25">
        <v>76124</v>
      </c>
      <c r="G38" s="25">
        <v>76150</v>
      </c>
      <c r="H38" s="31">
        <f>G38-F38</f>
        <v>26</v>
      </c>
      <c r="I38" s="27"/>
      <c r="J38" s="30">
        <f>H38*I38</f>
        <v>0</v>
      </c>
      <c r="K38" s="25"/>
      <c r="L38" s="27">
        <v>18</v>
      </c>
      <c r="M38" s="25" t="s">
        <v>90</v>
      </c>
      <c r="N38" s="27">
        <v>0</v>
      </c>
      <c r="O38" s="27">
        <v>0</v>
      </c>
      <c r="P38" s="30">
        <v>468</v>
      </c>
      <c r="Q38" s="25"/>
    </row>
    <row r="39" spans="1:17" s="28" customFormat="1" ht="15.75" x14ac:dyDescent="0.25">
      <c r="A39" s="41"/>
      <c r="B39" s="25" t="s">
        <v>87</v>
      </c>
      <c r="C39" s="25" t="s">
        <v>35</v>
      </c>
      <c r="D39" s="25" t="s">
        <v>35</v>
      </c>
      <c r="E39" s="25" t="s">
        <v>36</v>
      </c>
      <c r="F39" s="25" t="s">
        <v>97</v>
      </c>
      <c r="G39" s="25"/>
      <c r="H39" s="31"/>
      <c r="I39" s="25" t="s">
        <v>88</v>
      </c>
      <c r="J39" s="27" t="s">
        <v>89</v>
      </c>
      <c r="K39" s="25"/>
      <c r="L39" s="25"/>
      <c r="M39" s="25" t="s">
        <v>90</v>
      </c>
      <c r="N39" s="27">
        <v>100</v>
      </c>
      <c r="O39" s="27">
        <v>8</v>
      </c>
      <c r="P39" s="30">
        <f t="shared" ref="P39" si="17">N39*O39</f>
        <v>800</v>
      </c>
      <c r="Q39" s="25"/>
    </row>
    <row r="40" spans="1:17" s="28" customFormat="1" ht="15.75" x14ac:dyDescent="0.25">
      <c r="A40" s="41"/>
      <c r="B40" s="25" t="s">
        <v>106</v>
      </c>
      <c r="C40" s="25" t="s">
        <v>35</v>
      </c>
      <c r="D40" s="25" t="s">
        <v>35</v>
      </c>
      <c r="E40" s="25" t="s">
        <v>96</v>
      </c>
      <c r="F40" s="25">
        <v>76170</v>
      </c>
      <c r="G40" s="25">
        <v>76198</v>
      </c>
      <c r="H40" s="31">
        <f t="shared" ref="H40:H41" si="18">G40-F40</f>
        <v>28</v>
      </c>
      <c r="I40" s="32"/>
      <c r="J40" s="25" t="s">
        <v>28</v>
      </c>
      <c r="K40" s="30"/>
      <c r="L40" s="27">
        <v>18</v>
      </c>
      <c r="M40" s="25" t="s">
        <v>107</v>
      </c>
      <c r="N40" s="25" t="s">
        <v>90</v>
      </c>
      <c r="O40" s="27"/>
      <c r="P40" s="30">
        <f>H40*L40</f>
        <v>504</v>
      </c>
      <c r="Q40" s="33">
        <f t="shared" ref="Q40:Q41" si="19">O40*P40</f>
        <v>0</v>
      </c>
    </row>
    <row r="41" spans="1:17" s="28" customFormat="1" ht="15.75" x14ac:dyDescent="0.25">
      <c r="A41" s="41"/>
      <c r="B41" s="25" t="s">
        <v>108</v>
      </c>
      <c r="C41" s="25" t="s">
        <v>35</v>
      </c>
      <c r="D41" s="25" t="s">
        <v>35</v>
      </c>
      <c r="E41" s="25" t="s">
        <v>96</v>
      </c>
      <c r="F41" s="25">
        <v>76212</v>
      </c>
      <c r="G41" s="25">
        <v>76230</v>
      </c>
      <c r="H41" s="31">
        <f t="shared" si="18"/>
        <v>18</v>
      </c>
      <c r="I41" s="32"/>
      <c r="J41" s="25" t="s">
        <v>19</v>
      </c>
      <c r="K41" s="30"/>
      <c r="L41" s="27">
        <v>18</v>
      </c>
      <c r="M41" s="25" t="s">
        <v>109</v>
      </c>
      <c r="N41" s="25" t="s">
        <v>90</v>
      </c>
      <c r="O41" s="27"/>
      <c r="P41" s="30">
        <f>H41*L41</f>
        <v>324</v>
      </c>
      <c r="Q41" s="33">
        <f t="shared" si="19"/>
        <v>0</v>
      </c>
    </row>
    <row r="42" spans="1:17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10"/>
      <c r="M42" s="5"/>
      <c r="N42" s="5"/>
      <c r="O42" s="5"/>
      <c r="P42" s="12">
        <f>SUM(P35:P41)</f>
        <v>4472</v>
      </c>
      <c r="Q42" s="13" t="s">
        <v>113</v>
      </c>
    </row>
    <row r="43" spans="1:17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10"/>
      <c r="M43" s="5"/>
      <c r="N43" s="5"/>
      <c r="O43" s="5"/>
      <c r="P43" s="11"/>
      <c r="Q43" s="5"/>
    </row>
    <row r="44" spans="1:17" ht="15.75" x14ac:dyDescent="0.25">
      <c r="A44" s="41"/>
      <c r="B44" s="3" t="s">
        <v>46</v>
      </c>
      <c r="C44" s="3" t="s">
        <v>47</v>
      </c>
      <c r="D44" s="3" t="s">
        <v>47</v>
      </c>
      <c r="E44" s="3" t="s">
        <v>48</v>
      </c>
      <c r="F44" s="3">
        <v>75303</v>
      </c>
      <c r="G44" s="3">
        <v>75309</v>
      </c>
      <c r="H44" s="1">
        <f t="shared" ref="H44" si="20">G44-F44</f>
        <v>6</v>
      </c>
      <c r="I44" s="3" t="s">
        <v>49</v>
      </c>
      <c r="J44" s="3"/>
      <c r="K44" s="3" t="s">
        <v>50</v>
      </c>
      <c r="L44" s="6">
        <v>18</v>
      </c>
      <c r="M44" s="3"/>
      <c r="N44" s="3"/>
      <c r="O44" s="3"/>
      <c r="P44" s="2">
        <f t="shared" ref="P44" si="21">H44*L44</f>
        <v>108</v>
      </c>
      <c r="Q44" s="3"/>
    </row>
    <row r="45" spans="1:17" x14ac:dyDescent="0.25">
      <c r="A45" s="41"/>
      <c r="B45" s="3" t="s">
        <v>51</v>
      </c>
      <c r="C45" s="3" t="s">
        <v>47</v>
      </c>
      <c r="D45" s="3" t="s">
        <v>47</v>
      </c>
      <c r="E45" s="3" t="s">
        <v>52</v>
      </c>
      <c r="F45" s="3">
        <v>75371</v>
      </c>
      <c r="G45" s="3">
        <v>75376</v>
      </c>
      <c r="H45" s="7">
        <v>5</v>
      </c>
      <c r="I45" s="3" t="s">
        <v>53</v>
      </c>
      <c r="J45" s="3" t="s">
        <v>54</v>
      </c>
      <c r="K45" s="3" t="s">
        <v>55</v>
      </c>
      <c r="L45" s="6">
        <v>18</v>
      </c>
      <c r="M45" s="3"/>
      <c r="N45" s="3"/>
      <c r="O45" s="3"/>
      <c r="P45" s="7">
        <v>108</v>
      </c>
      <c r="Q45" s="3"/>
    </row>
    <row r="46" spans="1:17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10"/>
      <c r="M46" s="5"/>
      <c r="N46" s="5"/>
      <c r="O46" s="5"/>
      <c r="P46" s="5"/>
      <c r="Q46" s="5"/>
    </row>
    <row r="48" spans="1:17" x14ac:dyDescent="0.25">
      <c r="A48" s="5"/>
      <c r="B48" s="5"/>
      <c r="C48" s="5"/>
      <c r="D48" s="3"/>
      <c r="E48" s="5"/>
      <c r="F48" s="5"/>
      <c r="G48" s="5"/>
      <c r="H48" s="5"/>
      <c r="I48" s="5"/>
      <c r="J48" s="5"/>
      <c r="K48" s="5"/>
      <c r="L48" s="10"/>
      <c r="M48" s="5"/>
      <c r="N48" s="5"/>
      <c r="O48" s="5"/>
      <c r="P48" s="5"/>
      <c r="Q48" s="5"/>
    </row>
    <row r="49" spans="1:2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10"/>
      <c r="M49" s="5"/>
      <c r="N49" s="5"/>
      <c r="O49" s="5"/>
      <c r="P49" s="5"/>
      <c r="Q49" s="5"/>
    </row>
    <row r="50" spans="1:21" s="28" customFormat="1" ht="15.75" x14ac:dyDescent="0.25">
      <c r="A50" s="25"/>
      <c r="B50" s="25" t="s">
        <v>56</v>
      </c>
      <c r="C50" s="25" t="s">
        <v>110</v>
      </c>
      <c r="D50" s="25" t="s">
        <v>57</v>
      </c>
      <c r="E50" s="25" t="s">
        <v>58</v>
      </c>
      <c r="F50" s="25">
        <v>75247</v>
      </c>
      <c r="G50" s="25">
        <v>75281</v>
      </c>
      <c r="H50" s="26">
        <f t="shared" ref="H50" si="22">G50-F50</f>
        <v>34</v>
      </c>
      <c r="I50" s="25" t="s">
        <v>59</v>
      </c>
      <c r="J50" s="25" t="s">
        <v>60</v>
      </c>
      <c r="K50" s="25" t="s">
        <v>33</v>
      </c>
      <c r="L50" s="27">
        <v>18</v>
      </c>
      <c r="M50" s="25"/>
      <c r="N50" s="25"/>
      <c r="O50" s="25"/>
      <c r="P50" s="34">
        <f t="shared" ref="P50" si="23">H50*L50</f>
        <v>612</v>
      </c>
      <c r="Q50" s="25"/>
    </row>
    <row r="51" spans="1:2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10"/>
      <c r="M51" s="5"/>
      <c r="N51" s="5"/>
      <c r="O51" s="5"/>
      <c r="P51" s="12">
        <f>SUM(P50)</f>
        <v>612</v>
      </c>
      <c r="Q51" s="13" t="s">
        <v>114</v>
      </c>
    </row>
    <row r="52" spans="1:2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10"/>
      <c r="M52" s="5"/>
      <c r="N52" s="5"/>
      <c r="O52" s="5"/>
      <c r="P52" s="5"/>
      <c r="Q52" s="5"/>
    </row>
    <row r="53" spans="1:21" ht="15.75" x14ac:dyDescent="0.25">
      <c r="A53" s="41"/>
      <c r="B53" s="3" t="s">
        <v>61</v>
      </c>
      <c r="C53" s="3" t="s">
        <v>62</v>
      </c>
      <c r="D53" s="3" t="s">
        <v>62</v>
      </c>
      <c r="E53" s="38" t="s">
        <v>63</v>
      </c>
      <c r="F53" s="3">
        <v>75319</v>
      </c>
      <c r="G53" s="3">
        <v>75325</v>
      </c>
      <c r="H53" s="1">
        <v>6</v>
      </c>
      <c r="I53" s="3" t="s">
        <v>64</v>
      </c>
      <c r="J53" s="3" t="s">
        <v>65</v>
      </c>
      <c r="K53" s="3" t="s">
        <v>55</v>
      </c>
      <c r="L53" s="6">
        <v>18</v>
      </c>
      <c r="M53" s="3"/>
      <c r="N53" s="3"/>
      <c r="O53" s="3"/>
      <c r="P53" s="1">
        <v>108</v>
      </c>
      <c r="Q53" s="3"/>
    </row>
    <row r="54" spans="1:21" ht="15.75" x14ac:dyDescent="0.25">
      <c r="A54" s="41"/>
      <c r="B54" s="3" t="s">
        <v>69</v>
      </c>
      <c r="C54" s="3" t="s">
        <v>62</v>
      </c>
      <c r="D54" s="3" t="s">
        <v>62</v>
      </c>
      <c r="E54" s="3" t="s">
        <v>63</v>
      </c>
      <c r="F54" s="3">
        <v>75857</v>
      </c>
      <c r="G54" s="3">
        <v>75865</v>
      </c>
      <c r="H54" s="1">
        <f t="shared" ref="H54:H56" si="24">G54-F54</f>
        <v>8</v>
      </c>
      <c r="I54" s="3" t="s">
        <v>28</v>
      </c>
      <c r="J54" s="3" t="s">
        <v>70</v>
      </c>
      <c r="K54" s="3" t="s">
        <v>71</v>
      </c>
      <c r="L54" s="6">
        <v>18</v>
      </c>
      <c r="M54" s="3"/>
      <c r="N54" s="3"/>
      <c r="O54" s="3"/>
      <c r="P54" s="2">
        <f t="shared" ref="P54:P55" si="25">H54*L54</f>
        <v>144</v>
      </c>
      <c r="Q54" s="3"/>
    </row>
    <row r="55" spans="1:21" ht="15.75" x14ac:dyDescent="0.25">
      <c r="A55" s="41"/>
      <c r="B55" s="3" t="s">
        <v>72</v>
      </c>
      <c r="C55" s="3" t="s">
        <v>62</v>
      </c>
      <c r="D55" s="3" t="s">
        <v>62</v>
      </c>
      <c r="E55" s="3" t="s">
        <v>63</v>
      </c>
      <c r="F55" s="3">
        <v>75908</v>
      </c>
      <c r="G55" s="3">
        <v>75915</v>
      </c>
      <c r="H55" s="1">
        <f t="shared" si="24"/>
        <v>7</v>
      </c>
      <c r="I55" s="3" t="s">
        <v>73</v>
      </c>
      <c r="J55" s="3" t="s">
        <v>74</v>
      </c>
      <c r="K55" s="3" t="s">
        <v>75</v>
      </c>
      <c r="L55" s="6">
        <v>18</v>
      </c>
      <c r="M55" s="3"/>
      <c r="N55" s="3"/>
      <c r="O55" s="3"/>
      <c r="P55" s="2">
        <f t="shared" si="25"/>
        <v>126</v>
      </c>
      <c r="Q55" s="3"/>
    </row>
    <row r="56" spans="1:21" ht="15.75" x14ac:dyDescent="0.25">
      <c r="A56" s="41"/>
      <c r="B56" s="3" t="s">
        <v>134</v>
      </c>
      <c r="C56" s="3" t="s">
        <v>62</v>
      </c>
      <c r="D56" s="3" t="s">
        <v>62</v>
      </c>
      <c r="E56" s="3" t="s">
        <v>137</v>
      </c>
      <c r="F56" s="3">
        <v>77690</v>
      </c>
      <c r="G56" s="3">
        <v>77698</v>
      </c>
      <c r="H56" s="1">
        <f t="shared" si="24"/>
        <v>8</v>
      </c>
      <c r="I56" s="3" t="s">
        <v>135</v>
      </c>
      <c r="J56" s="3" t="s">
        <v>136</v>
      </c>
      <c r="K56" s="3" t="s">
        <v>90</v>
      </c>
      <c r="L56" s="6">
        <v>18</v>
      </c>
      <c r="M56" s="3"/>
      <c r="N56" s="3"/>
      <c r="O56" s="3"/>
      <c r="P56" s="7">
        <v>144</v>
      </c>
      <c r="Q56" s="3">
        <v>0</v>
      </c>
      <c r="R56">
        <v>0</v>
      </c>
      <c r="S56">
        <v>0</v>
      </c>
      <c r="U56">
        <v>144</v>
      </c>
    </row>
    <row r="57" spans="1:2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10"/>
      <c r="M57" s="5"/>
      <c r="N57" s="5"/>
      <c r="O57" s="5"/>
      <c r="P57" s="5"/>
      <c r="Q57" s="5"/>
    </row>
    <row r="58" spans="1:2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10"/>
      <c r="M58" s="5"/>
      <c r="N58" s="5"/>
      <c r="O58" s="5"/>
      <c r="P58" s="5"/>
      <c r="Q58" s="5"/>
    </row>
    <row r="59" spans="1:21" ht="15.75" x14ac:dyDescent="0.25">
      <c r="A59" s="41"/>
      <c r="B59" s="3" t="s">
        <v>66</v>
      </c>
      <c r="C59" s="3" t="s">
        <v>67</v>
      </c>
      <c r="D59" s="3" t="s">
        <v>67</v>
      </c>
      <c r="E59" s="4" t="s">
        <v>63</v>
      </c>
      <c r="F59" s="3">
        <v>75376</v>
      </c>
      <c r="G59" s="3">
        <v>75388</v>
      </c>
      <c r="H59" s="3">
        <v>12</v>
      </c>
      <c r="I59" s="3"/>
      <c r="J59" s="3" t="s">
        <v>68</v>
      </c>
      <c r="K59" s="3" t="s">
        <v>55</v>
      </c>
      <c r="L59" s="6">
        <v>18</v>
      </c>
      <c r="M59" s="3"/>
      <c r="N59" s="3"/>
      <c r="O59" s="3"/>
      <c r="P59" s="7">
        <v>216</v>
      </c>
      <c r="Q59" s="3"/>
    </row>
    <row r="60" spans="1:21" ht="15.75" x14ac:dyDescent="0.25">
      <c r="A60" s="5"/>
      <c r="B60" s="3"/>
      <c r="C60" s="3"/>
      <c r="D60" s="3"/>
      <c r="E60" s="4"/>
      <c r="F60" s="3"/>
      <c r="G60" s="3"/>
      <c r="H60" s="3"/>
      <c r="I60" s="3"/>
      <c r="J60" s="3"/>
      <c r="K60" s="3"/>
      <c r="L60" s="6"/>
      <c r="M60" s="3"/>
      <c r="N60" s="3"/>
      <c r="O60" s="3"/>
      <c r="P60" s="7"/>
      <c r="Q60" s="3"/>
    </row>
    <row r="61" spans="1:21" ht="15.75" x14ac:dyDescent="0.25">
      <c r="A61" s="5"/>
      <c r="B61" s="3"/>
      <c r="C61" s="3"/>
      <c r="D61" s="3"/>
      <c r="E61" s="4"/>
      <c r="F61" s="3"/>
      <c r="G61" s="3"/>
      <c r="H61" s="3"/>
      <c r="I61" s="3"/>
      <c r="J61" s="3"/>
      <c r="K61" s="6"/>
      <c r="L61" s="6"/>
      <c r="M61" s="3"/>
      <c r="N61" s="3"/>
      <c r="O61" s="3"/>
      <c r="P61" s="7"/>
      <c r="Q61" s="3"/>
    </row>
    <row r="62" spans="1:21" x14ac:dyDescent="0.25">
      <c r="A62" s="42"/>
      <c r="B62" s="3" t="s">
        <v>142</v>
      </c>
      <c r="C62" s="6" t="s">
        <v>116</v>
      </c>
      <c r="D62" s="6" t="s">
        <v>116</v>
      </c>
      <c r="E62" s="3" t="s">
        <v>52</v>
      </c>
      <c r="F62" s="6">
        <v>68630</v>
      </c>
      <c r="G62" s="6">
        <v>68636</v>
      </c>
      <c r="H62" s="6">
        <v>6</v>
      </c>
      <c r="I62" s="40" t="s">
        <v>143</v>
      </c>
      <c r="J62" s="40" t="s">
        <v>144</v>
      </c>
      <c r="K62" s="6" t="s">
        <v>145</v>
      </c>
      <c r="L62" s="24">
        <v>15</v>
      </c>
      <c r="M62" s="24"/>
      <c r="N62" s="6" t="s">
        <v>145</v>
      </c>
      <c r="O62" s="3"/>
      <c r="P62" s="24">
        <v>90</v>
      </c>
      <c r="Q62" s="9"/>
      <c r="R62" s="8"/>
      <c r="S62" s="8"/>
    </row>
    <row r="63" spans="1:21" x14ac:dyDescent="0.25">
      <c r="A63" s="42"/>
      <c r="B63" s="6" t="s">
        <v>138</v>
      </c>
      <c r="C63" s="6" t="s">
        <v>116</v>
      </c>
      <c r="D63" s="6" t="s">
        <v>116</v>
      </c>
      <c r="E63" s="3" t="s">
        <v>52</v>
      </c>
      <c r="F63" s="6">
        <v>68280</v>
      </c>
      <c r="G63" s="6">
        <v>68286</v>
      </c>
      <c r="H63" s="24">
        <v>6</v>
      </c>
      <c r="I63" s="3" t="s">
        <v>140</v>
      </c>
      <c r="J63" s="3" t="s">
        <v>139</v>
      </c>
      <c r="K63" s="6" t="s">
        <v>141</v>
      </c>
      <c r="L63" s="24">
        <v>15</v>
      </c>
      <c r="M63" s="24"/>
      <c r="N63" s="6" t="s">
        <v>141</v>
      </c>
      <c r="O63" s="3"/>
      <c r="P63" s="6">
        <v>90</v>
      </c>
      <c r="Q63" s="39"/>
      <c r="R63" s="8"/>
      <c r="S63" s="8"/>
    </row>
    <row r="64" spans="1:21" ht="15.75" x14ac:dyDescent="0.25">
      <c r="A64" s="41"/>
      <c r="B64" s="3" t="s">
        <v>115</v>
      </c>
      <c r="C64" s="16" t="s">
        <v>116</v>
      </c>
      <c r="D64" s="16" t="s">
        <v>116</v>
      </c>
      <c r="E64" s="16" t="s">
        <v>48</v>
      </c>
      <c r="F64" s="22">
        <v>76318</v>
      </c>
      <c r="G64" s="22">
        <v>76324</v>
      </c>
      <c r="H64" s="20">
        <f t="shared" ref="H64:H67" si="26">G64-F64</f>
        <v>6</v>
      </c>
      <c r="I64" s="16" t="s">
        <v>117</v>
      </c>
      <c r="J64" s="16" t="s">
        <v>118</v>
      </c>
      <c r="K64" s="22" t="s">
        <v>90</v>
      </c>
      <c r="L64" s="22">
        <v>18</v>
      </c>
      <c r="M64" s="16"/>
      <c r="N64" s="22" t="s">
        <v>90</v>
      </c>
      <c r="O64" s="18"/>
      <c r="P64" s="7">
        <f>H64*L64</f>
        <v>108</v>
      </c>
      <c r="Q64" s="21"/>
    </row>
    <row r="65" spans="1:17" ht="15.75" x14ac:dyDescent="0.25">
      <c r="A65" s="41"/>
      <c r="B65" s="3" t="s">
        <v>115</v>
      </c>
      <c r="C65" s="16" t="s">
        <v>116</v>
      </c>
      <c r="D65" s="16" t="s">
        <v>116</v>
      </c>
      <c r="E65" s="16" t="s">
        <v>48</v>
      </c>
      <c r="F65" s="22">
        <v>76324</v>
      </c>
      <c r="G65" s="22">
        <v>76329</v>
      </c>
      <c r="H65" s="20">
        <f t="shared" si="26"/>
        <v>5</v>
      </c>
      <c r="I65" s="16" t="s">
        <v>119</v>
      </c>
      <c r="J65" s="16" t="s">
        <v>120</v>
      </c>
      <c r="K65" s="22" t="s">
        <v>90</v>
      </c>
      <c r="L65" s="22">
        <v>18</v>
      </c>
      <c r="M65" s="16"/>
      <c r="N65" s="22" t="s">
        <v>90</v>
      </c>
      <c r="O65" s="16"/>
      <c r="P65" s="7">
        <f t="shared" ref="P65:P67" si="27">H65*L65</f>
        <v>90</v>
      </c>
      <c r="Q65" s="21"/>
    </row>
    <row r="66" spans="1:17" x14ac:dyDescent="0.25">
      <c r="A66" s="41"/>
      <c r="B66" s="3" t="s">
        <v>125</v>
      </c>
      <c r="C66" s="16" t="s">
        <v>126</v>
      </c>
      <c r="D66" s="16" t="s">
        <v>126</v>
      </c>
      <c r="E66" s="16" t="s">
        <v>48</v>
      </c>
      <c r="F66" s="22">
        <v>76391</v>
      </c>
      <c r="G66" s="22">
        <v>76397</v>
      </c>
      <c r="H66" s="22">
        <f t="shared" si="26"/>
        <v>6</v>
      </c>
      <c r="I66" s="16" t="s">
        <v>127</v>
      </c>
      <c r="J66" s="16" t="s">
        <v>128</v>
      </c>
      <c r="K66" s="22" t="s">
        <v>90</v>
      </c>
      <c r="L66" s="22">
        <v>18</v>
      </c>
      <c r="M66" s="16"/>
      <c r="N66" s="22" t="s">
        <v>90</v>
      </c>
      <c r="O66" s="16"/>
      <c r="P66" s="7">
        <f t="shared" si="27"/>
        <v>108</v>
      </c>
      <c r="Q66" s="37"/>
    </row>
    <row r="67" spans="1:17" x14ac:dyDescent="0.25">
      <c r="A67" s="41"/>
      <c r="B67" s="3" t="s">
        <v>125</v>
      </c>
      <c r="C67" s="16" t="s">
        <v>126</v>
      </c>
      <c r="D67" s="16" t="s">
        <v>126</v>
      </c>
      <c r="E67" s="16" t="s">
        <v>63</v>
      </c>
      <c r="F67" s="22">
        <v>76397</v>
      </c>
      <c r="G67" s="22">
        <v>76403</v>
      </c>
      <c r="H67" s="22">
        <f t="shared" si="26"/>
        <v>6</v>
      </c>
      <c r="I67" s="16" t="s">
        <v>129</v>
      </c>
      <c r="J67" s="16" t="s">
        <v>31</v>
      </c>
      <c r="K67" s="22" t="s">
        <v>90</v>
      </c>
      <c r="L67" s="22">
        <v>18</v>
      </c>
      <c r="M67" s="16"/>
      <c r="N67" s="22" t="s">
        <v>90</v>
      </c>
      <c r="O67" s="16"/>
      <c r="P67" s="7">
        <f t="shared" si="27"/>
        <v>108</v>
      </c>
      <c r="Q67" s="37"/>
    </row>
    <row r="68" spans="1:17" ht="15.75" x14ac:dyDescent="0.25">
      <c r="A68" s="5"/>
      <c r="B68" s="5"/>
      <c r="I68" s="35"/>
      <c r="K68" s="36"/>
      <c r="P68" s="36"/>
      <c r="Q68" s="37"/>
    </row>
    <row r="69" spans="1:17" ht="15.75" x14ac:dyDescent="0.25">
      <c r="A69" s="5"/>
      <c r="B69" s="5"/>
      <c r="I69" s="35"/>
      <c r="K69" s="36"/>
      <c r="P69" s="36"/>
      <c r="Q69" s="37"/>
    </row>
    <row r="70" spans="1:17" ht="15.75" x14ac:dyDescent="0.25">
      <c r="A70" s="5"/>
      <c r="B70" s="5"/>
      <c r="I70" s="35"/>
      <c r="K70" s="36"/>
      <c r="P70" s="36"/>
      <c r="Q70" s="37"/>
    </row>
    <row r="71" spans="1:17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25">
      <c r="A73" s="41"/>
      <c r="B73" s="3" t="s">
        <v>121</v>
      </c>
      <c r="C73" s="16" t="s">
        <v>122</v>
      </c>
      <c r="D73" s="16" t="s">
        <v>91</v>
      </c>
      <c r="E73" s="16"/>
      <c r="F73" s="16">
        <v>76334</v>
      </c>
      <c r="G73" s="16">
        <v>76390</v>
      </c>
      <c r="H73" s="16">
        <v>56</v>
      </c>
      <c r="I73" s="23" t="s">
        <v>123</v>
      </c>
      <c r="J73" s="16" t="s">
        <v>124</v>
      </c>
      <c r="K73" s="3" t="s">
        <v>55</v>
      </c>
      <c r="L73" s="23" t="s">
        <v>123</v>
      </c>
      <c r="M73" s="16" t="s">
        <v>124</v>
      </c>
      <c r="N73" s="16" t="s">
        <v>90</v>
      </c>
      <c r="O73" s="3"/>
      <c r="P73" s="24">
        <v>1008</v>
      </c>
      <c r="Q73" s="5"/>
    </row>
    <row r="74" spans="1:17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25">
      <c r="A75" s="41"/>
      <c r="B75" s="3" t="s">
        <v>146</v>
      </c>
      <c r="C75" s="3" t="s">
        <v>147</v>
      </c>
      <c r="D75" s="3" t="s">
        <v>147</v>
      </c>
      <c r="E75" s="3" t="s">
        <v>2</v>
      </c>
      <c r="F75" s="3">
        <v>67831</v>
      </c>
      <c r="G75" s="3">
        <v>67849</v>
      </c>
      <c r="H75" s="3">
        <v>18</v>
      </c>
      <c r="I75" s="3" t="s">
        <v>148</v>
      </c>
      <c r="J75" s="3" t="s">
        <v>143</v>
      </c>
      <c r="K75" s="3" t="s">
        <v>145</v>
      </c>
      <c r="L75" s="3" t="s">
        <v>145</v>
      </c>
      <c r="M75" s="3"/>
      <c r="N75" s="3" t="s">
        <v>145</v>
      </c>
      <c r="O75" s="3"/>
      <c r="P75" s="3">
        <v>270</v>
      </c>
      <c r="Q75" s="5"/>
    </row>
    <row r="76" spans="1:17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G12" sqref="G12"/>
    </sheetView>
  </sheetViews>
  <sheetFormatPr defaultRowHeight="15" x14ac:dyDescent="0.25"/>
  <cols>
    <col min="3" max="3" width="13.85546875" bestFit="1" customWidth="1"/>
    <col min="15" max="15" width="6.140625" customWidth="1"/>
    <col min="16" max="16" width="17.28515625" customWidth="1"/>
    <col min="17" max="17" width="16" customWidth="1"/>
  </cols>
  <sheetData>
    <row r="1" spans="1:17" s="45" customFormat="1" x14ac:dyDescent="0.25">
      <c r="A1" s="43"/>
      <c r="B1" s="43" t="s">
        <v>105</v>
      </c>
      <c r="C1" s="43" t="s">
        <v>99</v>
      </c>
      <c r="D1" s="43"/>
      <c r="E1" s="43" t="s">
        <v>102</v>
      </c>
      <c r="F1" s="43"/>
      <c r="G1" s="43"/>
      <c r="H1" s="44" t="s">
        <v>100</v>
      </c>
      <c r="I1" s="43"/>
      <c r="J1" s="43"/>
      <c r="K1" s="43"/>
      <c r="L1" s="43" t="s">
        <v>101</v>
      </c>
      <c r="M1" s="43"/>
      <c r="N1" s="43"/>
      <c r="O1" s="43"/>
      <c r="P1" s="43" t="s">
        <v>98</v>
      </c>
      <c r="Q1" s="43" t="s">
        <v>104</v>
      </c>
    </row>
    <row r="2" spans="1:17" ht="15.75" x14ac:dyDescent="0.25">
      <c r="A2" s="25"/>
      <c r="B2" s="25" t="s">
        <v>56</v>
      </c>
      <c r="C2" s="25" t="s">
        <v>110</v>
      </c>
      <c r="D2" s="25" t="s">
        <v>57</v>
      </c>
      <c r="E2" s="25" t="s">
        <v>58</v>
      </c>
      <c r="F2" s="25">
        <v>75247</v>
      </c>
      <c r="G2" s="25">
        <v>75281</v>
      </c>
      <c r="H2" s="26">
        <f t="shared" ref="H2" si="0">G2-F2</f>
        <v>34</v>
      </c>
      <c r="I2" s="25" t="s">
        <v>59</v>
      </c>
      <c r="J2" s="25" t="s">
        <v>60</v>
      </c>
      <c r="K2" s="25" t="s">
        <v>33</v>
      </c>
      <c r="L2" s="27">
        <v>18</v>
      </c>
      <c r="M2" s="25"/>
      <c r="N2" s="25"/>
      <c r="O2" s="25"/>
      <c r="P2" s="34">
        <f t="shared" ref="P2" si="1">H2*L2</f>
        <v>612</v>
      </c>
      <c r="Q2" s="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H17" sqref="H17"/>
    </sheetView>
  </sheetViews>
  <sheetFormatPr defaultRowHeight="15" x14ac:dyDescent="0.25"/>
  <cols>
    <col min="1" max="1" width="6.7109375" customWidth="1"/>
    <col min="2" max="3" width="13.42578125" customWidth="1"/>
    <col min="4" max="4" width="13.140625" bestFit="1" customWidth="1"/>
    <col min="5" max="5" width="10.28515625" bestFit="1" customWidth="1"/>
    <col min="14" max="14" width="17" bestFit="1" customWidth="1"/>
    <col min="18" max="18" width="13.5703125" bestFit="1" customWidth="1"/>
  </cols>
  <sheetData>
    <row r="1" spans="1:18" s="45" customFormat="1" x14ac:dyDescent="0.25">
      <c r="A1" s="43"/>
      <c r="B1" s="43" t="s">
        <v>105</v>
      </c>
      <c r="C1" s="43" t="s">
        <v>376</v>
      </c>
      <c r="D1" s="43" t="s">
        <v>99</v>
      </c>
      <c r="E1" s="43"/>
      <c r="F1" s="43" t="s">
        <v>102</v>
      </c>
      <c r="G1" s="43"/>
      <c r="H1" s="43"/>
      <c r="I1" s="44" t="s">
        <v>100</v>
      </c>
      <c r="J1" s="43"/>
      <c r="K1" s="43"/>
      <c r="L1" s="43"/>
      <c r="M1" s="43" t="s">
        <v>101</v>
      </c>
      <c r="N1" s="43"/>
      <c r="O1" s="43"/>
      <c r="P1" s="43"/>
      <c r="Q1" s="43" t="s">
        <v>98</v>
      </c>
      <c r="R1" s="43" t="s">
        <v>104</v>
      </c>
    </row>
    <row r="2" spans="1:18" ht="15.75" x14ac:dyDescent="0.25">
      <c r="A2" s="16"/>
      <c r="B2" s="16" t="s">
        <v>34</v>
      </c>
      <c r="D2" s="16" t="s">
        <v>35</v>
      </c>
      <c r="E2" s="16" t="s">
        <v>35</v>
      </c>
      <c r="F2" s="16" t="s">
        <v>36</v>
      </c>
      <c r="G2" s="16">
        <v>75158</v>
      </c>
      <c r="H2" s="16">
        <v>75178</v>
      </c>
      <c r="I2" s="59">
        <f t="shared" ref="I2" si="0">H2-G2</f>
        <v>20</v>
      </c>
      <c r="J2" s="16" t="s">
        <v>37</v>
      </c>
      <c r="K2" s="16" t="s">
        <v>38</v>
      </c>
      <c r="L2" s="16"/>
      <c r="M2" s="18">
        <v>18</v>
      </c>
      <c r="N2" s="16"/>
      <c r="O2" s="16"/>
      <c r="P2" s="16"/>
      <c r="Q2" s="19">
        <f t="shared" ref="Q2" si="1">I2*M2</f>
        <v>360</v>
      </c>
      <c r="R2" s="16"/>
    </row>
    <row r="3" spans="1:18" x14ac:dyDescent="0.25">
      <c r="A3" s="16"/>
      <c r="B3" s="16" t="s">
        <v>39</v>
      </c>
      <c r="C3" s="16"/>
      <c r="D3" s="16" t="s">
        <v>35</v>
      </c>
      <c r="E3" s="16" t="s">
        <v>35</v>
      </c>
      <c r="F3" s="16" t="s">
        <v>40</v>
      </c>
      <c r="G3" s="16">
        <v>75430</v>
      </c>
      <c r="H3" s="16">
        <v>75468</v>
      </c>
      <c r="I3" s="60">
        <v>38</v>
      </c>
      <c r="J3" s="16" t="s">
        <v>41</v>
      </c>
      <c r="K3" s="16" t="s">
        <v>42</v>
      </c>
      <c r="L3" s="16" t="s">
        <v>43</v>
      </c>
      <c r="M3" s="18">
        <v>18</v>
      </c>
      <c r="N3" s="16"/>
      <c r="O3" s="16"/>
      <c r="P3" s="16"/>
      <c r="Q3" s="60">
        <v>684</v>
      </c>
      <c r="R3" s="16"/>
    </row>
    <row r="4" spans="1:18" x14ac:dyDescent="0.25">
      <c r="A4" s="16"/>
      <c r="B4" s="16" t="s">
        <v>44</v>
      </c>
      <c r="C4" s="16"/>
      <c r="D4" s="16" t="s">
        <v>35</v>
      </c>
      <c r="E4" s="16" t="s">
        <v>35</v>
      </c>
      <c r="F4" s="16" t="s">
        <v>40</v>
      </c>
      <c r="G4" s="16">
        <v>75480</v>
      </c>
      <c r="H4" s="16">
        <v>75554</v>
      </c>
      <c r="I4" s="60">
        <v>74</v>
      </c>
      <c r="J4" s="16" t="s">
        <v>45</v>
      </c>
      <c r="K4" s="16"/>
      <c r="L4" s="16" t="s">
        <v>43</v>
      </c>
      <c r="M4" s="18">
        <v>18</v>
      </c>
      <c r="N4" s="16"/>
      <c r="O4" s="16"/>
      <c r="P4" s="16"/>
      <c r="Q4" s="60">
        <v>1332</v>
      </c>
      <c r="R4" s="16"/>
    </row>
    <row r="5" spans="1:18" ht="15.75" x14ac:dyDescent="0.25">
      <c r="A5" s="16"/>
      <c r="B5" s="16" t="s">
        <v>87</v>
      </c>
      <c r="C5" s="16"/>
      <c r="D5" s="16" t="s">
        <v>35</v>
      </c>
      <c r="E5" s="16" t="s">
        <v>35</v>
      </c>
      <c r="F5" s="16" t="s">
        <v>96</v>
      </c>
      <c r="G5" s="16">
        <v>76124</v>
      </c>
      <c r="H5" s="16">
        <v>76150</v>
      </c>
      <c r="I5" s="59">
        <f>H5-G5</f>
        <v>26</v>
      </c>
      <c r="J5" s="18"/>
      <c r="K5" s="60">
        <f>I5*J5</f>
        <v>0</v>
      </c>
      <c r="L5" s="16"/>
      <c r="M5" s="18">
        <v>18</v>
      </c>
      <c r="N5" s="16" t="s">
        <v>90</v>
      </c>
      <c r="O5" s="18">
        <v>0</v>
      </c>
      <c r="P5" s="18">
        <v>0</v>
      </c>
      <c r="Q5" s="60">
        <v>468</v>
      </c>
      <c r="R5" s="16"/>
    </row>
    <row r="6" spans="1:18" ht="15.75" x14ac:dyDescent="0.25">
      <c r="A6" s="16"/>
      <c r="B6" s="16" t="s">
        <v>87</v>
      </c>
      <c r="C6" s="16"/>
      <c r="D6" s="16" t="s">
        <v>35</v>
      </c>
      <c r="E6" s="16" t="s">
        <v>35</v>
      </c>
      <c r="F6" s="16" t="s">
        <v>36</v>
      </c>
      <c r="G6" s="16" t="s">
        <v>97</v>
      </c>
      <c r="H6" s="16"/>
      <c r="I6" s="59"/>
      <c r="J6" s="16" t="s">
        <v>88</v>
      </c>
      <c r="K6" s="18" t="s">
        <v>89</v>
      </c>
      <c r="L6" s="16"/>
      <c r="M6" s="16"/>
      <c r="N6" s="16" t="s">
        <v>90</v>
      </c>
      <c r="O6" s="18">
        <v>100</v>
      </c>
      <c r="P6" s="18">
        <v>8</v>
      </c>
      <c r="Q6" s="60">
        <f t="shared" ref="Q6" si="2">O6*P6</f>
        <v>800</v>
      </c>
      <c r="R6" s="16"/>
    </row>
    <row r="7" spans="1:18" ht="15.75" x14ac:dyDescent="0.25">
      <c r="A7" s="16"/>
      <c r="B7" s="16" t="s">
        <v>106</v>
      </c>
      <c r="C7" s="16"/>
      <c r="D7" s="16" t="s">
        <v>35</v>
      </c>
      <c r="E7" s="16" t="s">
        <v>35</v>
      </c>
      <c r="F7" s="16" t="s">
        <v>96</v>
      </c>
      <c r="G7" s="16">
        <v>76170</v>
      </c>
      <c r="H7" s="16">
        <v>76198</v>
      </c>
      <c r="I7" s="59">
        <f t="shared" ref="I7:I8" si="3">H7-G7</f>
        <v>28</v>
      </c>
      <c r="J7" s="61"/>
      <c r="K7" s="16" t="s">
        <v>28</v>
      </c>
      <c r="L7" s="60"/>
      <c r="M7" s="18">
        <v>18</v>
      </c>
      <c r="N7" s="16" t="s">
        <v>107</v>
      </c>
      <c r="O7" s="16" t="s">
        <v>90</v>
      </c>
      <c r="P7" s="18"/>
      <c r="Q7" s="60">
        <f>I7*M7</f>
        <v>504</v>
      </c>
      <c r="R7" s="21">
        <f t="shared" ref="R7:R8" si="4">P7*Q7</f>
        <v>0</v>
      </c>
    </row>
    <row r="8" spans="1:18" ht="15.75" x14ac:dyDescent="0.25">
      <c r="B8" s="62" t="s">
        <v>108</v>
      </c>
      <c r="C8" s="62"/>
      <c r="D8" s="62" t="s">
        <v>35</v>
      </c>
      <c r="E8" s="62" t="s">
        <v>35</v>
      </c>
      <c r="F8" s="62" t="s">
        <v>96</v>
      </c>
      <c r="G8" s="62">
        <v>76212</v>
      </c>
      <c r="H8" s="62">
        <v>76230</v>
      </c>
      <c r="I8" s="63">
        <f t="shared" si="3"/>
        <v>18</v>
      </c>
      <c r="J8" s="64"/>
      <c r="K8" s="62" t="s">
        <v>19</v>
      </c>
      <c r="L8" s="65"/>
      <c r="M8" s="66">
        <v>18</v>
      </c>
      <c r="N8" s="62" t="s">
        <v>109</v>
      </c>
      <c r="O8" s="62" t="s">
        <v>90</v>
      </c>
      <c r="P8" s="66"/>
      <c r="Q8" s="65">
        <f>I8*M8</f>
        <v>324</v>
      </c>
      <c r="R8" s="67">
        <f t="shared" si="4"/>
        <v>0</v>
      </c>
    </row>
    <row r="9" spans="1:18" s="16" customFormat="1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7"/>
      <c r="N9" s="25"/>
      <c r="O9" s="25"/>
      <c r="P9" s="25"/>
      <c r="Q9" s="58">
        <f>SUM(Q2:Q8)</f>
        <v>4472</v>
      </c>
      <c r="R9" s="13" t="s">
        <v>113</v>
      </c>
    </row>
    <row r="11" spans="1:18" s="92" customFormat="1" x14ac:dyDescent="0.25">
      <c r="A11" s="83"/>
      <c r="B11" s="107">
        <v>46047</v>
      </c>
      <c r="C11" s="13" t="s">
        <v>377</v>
      </c>
      <c r="D11" s="13" t="s">
        <v>35</v>
      </c>
      <c r="E11" s="13" t="s">
        <v>35</v>
      </c>
      <c r="F11" s="13" t="s">
        <v>93</v>
      </c>
      <c r="G11" s="13">
        <v>47685</v>
      </c>
      <c r="H11" s="13">
        <v>47786</v>
      </c>
      <c r="I11" s="13">
        <v>101</v>
      </c>
      <c r="J11" s="13" t="s">
        <v>366</v>
      </c>
      <c r="K11" s="13" t="s">
        <v>367</v>
      </c>
      <c r="L11" s="13" t="s">
        <v>368</v>
      </c>
      <c r="M11" s="83">
        <v>30</v>
      </c>
      <c r="N11" s="83"/>
      <c r="O11" s="83"/>
      <c r="P11" s="83"/>
      <c r="Q11" s="83">
        <f>I11*M11</f>
        <v>3030</v>
      </c>
      <c r="R11" s="83" t="s">
        <v>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M15" sqref="M15"/>
    </sheetView>
  </sheetViews>
  <sheetFormatPr defaultRowHeight="15" x14ac:dyDescent="0.25"/>
  <cols>
    <col min="16" max="16" width="13.7109375" customWidth="1"/>
    <col min="17" max="17" width="18.140625" customWidth="1"/>
  </cols>
  <sheetData>
    <row r="1" spans="1:17" s="45" customFormat="1" x14ac:dyDescent="0.25">
      <c r="A1" s="43"/>
      <c r="B1" s="43" t="s">
        <v>105</v>
      </c>
      <c r="C1" s="43" t="s">
        <v>99</v>
      </c>
      <c r="D1" s="43"/>
      <c r="E1" s="43" t="s">
        <v>102</v>
      </c>
      <c r="F1" s="43"/>
      <c r="G1" s="43"/>
      <c r="H1" s="44" t="s">
        <v>100</v>
      </c>
      <c r="I1" s="43"/>
      <c r="J1" s="43"/>
      <c r="K1" s="43"/>
      <c r="L1" s="43" t="s">
        <v>101</v>
      </c>
      <c r="M1" s="43"/>
      <c r="N1" s="43"/>
      <c r="O1" s="43"/>
      <c r="P1" s="43" t="s">
        <v>98</v>
      </c>
      <c r="Q1" s="43" t="s">
        <v>104</v>
      </c>
    </row>
    <row r="2" spans="1:17" x14ac:dyDescent="0.25">
      <c r="A2" s="28"/>
      <c r="B2" s="28" t="s">
        <v>103</v>
      </c>
      <c r="C2" s="25" t="s">
        <v>92</v>
      </c>
      <c r="D2" s="25" t="s">
        <v>83</v>
      </c>
      <c r="E2" s="25" t="s">
        <v>93</v>
      </c>
      <c r="F2" s="25" t="s">
        <v>97</v>
      </c>
      <c r="G2" s="25"/>
      <c r="H2" s="25"/>
      <c r="I2" s="25" t="s">
        <v>94</v>
      </c>
      <c r="J2" s="25" t="s">
        <v>95</v>
      </c>
      <c r="K2" s="25"/>
      <c r="L2" s="27"/>
      <c r="M2" s="25" t="s">
        <v>90</v>
      </c>
      <c r="N2" s="27">
        <v>100</v>
      </c>
      <c r="O2" s="27">
        <v>6</v>
      </c>
      <c r="P2" s="30">
        <f t="shared" ref="P2" si="0">N2*O2</f>
        <v>600</v>
      </c>
      <c r="Q2" s="13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selection activeCell="J14" sqref="J14"/>
    </sheetView>
  </sheetViews>
  <sheetFormatPr defaultRowHeight="15" x14ac:dyDescent="0.25"/>
  <cols>
    <col min="3" max="3" width="16.5703125" bestFit="1" customWidth="1"/>
    <col min="4" max="4" width="17.7109375" bestFit="1" customWidth="1"/>
    <col min="16" max="16" width="15.7109375" customWidth="1"/>
    <col min="17" max="17" width="15.140625" customWidth="1"/>
  </cols>
  <sheetData>
    <row r="1" spans="1:17" s="45" customFormat="1" x14ac:dyDescent="0.25">
      <c r="A1" s="43"/>
      <c r="B1" s="43" t="s">
        <v>105</v>
      </c>
      <c r="C1" s="43" t="s">
        <v>99</v>
      </c>
      <c r="D1" s="43"/>
      <c r="E1" s="43" t="s">
        <v>102</v>
      </c>
      <c r="F1" s="43"/>
      <c r="G1" s="43"/>
      <c r="H1" s="44" t="s">
        <v>100</v>
      </c>
      <c r="I1" s="43"/>
      <c r="J1" s="43"/>
      <c r="K1" s="43"/>
      <c r="L1" s="43" t="s">
        <v>101</v>
      </c>
      <c r="M1" s="43"/>
      <c r="N1" s="43"/>
      <c r="O1" s="43"/>
      <c r="P1" s="43" t="s">
        <v>98</v>
      </c>
      <c r="Q1" s="43" t="s">
        <v>104</v>
      </c>
    </row>
    <row r="2" spans="1:17" ht="15.75" x14ac:dyDescent="0.25">
      <c r="A2" s="16"/>
      <c r="B2" s="16" t="s">
        <v>82</v>
      </c>
      <c r="C2" s="16" t="s">
        <v>84</v>
      </c>
      <c r="D2" s="16" t="s">
        <v>83</v>
      </c>
      <c r="E2" s="16" t="s">
        <v>78</v>
      </c>
      <c r="F2" s="16">
        <v>75325</v>
      </c>
      <c r="G2" s="16">
        <v>75371</v>
      </c>
      <c r="H2" s="17">
        <v>46</v>
      </c>
      <c r="I2" s="16" t="s">
        <v>53</v>
      </c>
      <c r="J2" s="16" t="s">
        <v>85</v>
      </c>
      <c r="K2" s="16" t="s">
        <v>86</v>
      </c>
      <c r="L2" s="18">
        <v>18</v>
      </c>
      <c r="M2" s="16"/>
      <c r="N2" s="16"/>
      <c r="O2" s="16"/>
      <c r="P2" s="17">
        <v>828</v>
      </c>
      <c r="Q2" s="16"/>
    </row>
    <row r="3" spans="1:17" ht="15.75" x14ac:dyDescent="0.25">
      <c r="A3" s="62"/>
      <c r="B3" s="62" t="s">
        <v>76</v>
      </c>
      <c r="C3" s="62" t="s">
        <v>84</v>
      </c>
      <c r="D3" s="62" t="s">
        <v>77</v>
      </c>
      <c r="E3" s="62" t="s">
        <v>78</v>
      </c>
      <c r="F3" s="62">
        <v>75805</v>
      </c>
      <c r="G3" s="62">
        <v>75857</v>
      </c>
      <c r="H3" s="69">
        <f t="shared" ref="H3" si="0">G3-F3</f>
        <v>52</v>
      </c>
      <c r="I3" s="62" t="s">
        <v>79</v>
      </c>
      <c r="J3" s="62" t="s">
        <v>80</v>
      </c>
      <c r="K3" s="62" t="s">
        <v>81</v>
      </c>
      <c r="L3" s="66">
        <v>18</v>
      </c>
      <c r="M3" s="62"/>
      <c r="N3" s="62"/>
      <c r="O3" s="62"/>
      <c r="P3" s="19">
        <f t="shared" ref="P3" si="1">H3*L3</f>
        <v>936</v>
      </c>
    </row>
    <row r="4" spans="1:17" ht="15.75" x14ac:dyDescent="0.25">
      <c r="A4" s="55"/>
      <c r="B4" s="56"/>
      <c r="C4" s="56"/>
      <c r="D4" s="56"/>
      <c r="E4" s="56"/>
      <c r="F4" s="56"/>
      <c r="G4" s="56"/>
      <c r="H4" s="70"/>
      <c r="I4" s="56"/>
      <c r="J4" s="56"/>
      <c r="K4" s="56"/>
      <c r="L4" s="71"/>
      <c r="M4" s="56"/>
      <c r="N4" s="56"/>
      <c r="O4" s="57"/>
      <c r="P4" s="68">
        <f>SUM(P2:P3)</f>
        <v>1764</v>
      </c>
      <c r="Q4" s="13" t="s">
        <v>111</v>
      </c>
    </row>
    <row r="8" spans="1:17" x14ac:dyDescent="0.25">
      <c r="C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opLeftCell="G2" workbookViewId="0">
      <selection activeCell="O22" sqref="O22"/>
    </sheetView>
  </sheetViews>
  <sheetFormatPr defaultRowHeight="15" x14ac:dyDescent="0.25"/>
  <cols>
    <col min="1" max="1" width="4.28515625" customWidth="1"/>
    <col min="2" max="3" width="10.7109375" customWidth="1"/>
    <col min="4" max="4" width="17" customWidth="1"/>
    <col min="5" max="5" width="16.5703125" bestFit="1" customWidth="1"/>
    <col min="6" max="6" width="24" bestFit="1" customWidth="1"/>
    <col min="7" max="7" width="16.5703125" bestFit="1" customWidth="1"/>
    <col min="12" max="12" width="17" bestFit="1" customWidth="1"/>
    <col min="14" max="14" width="4.85546875" customWidth="1"/>
    <col min="15" max="15" width="19.5703125" bestFit="1" customWidth="1"/>
    <col min="17" max="17" width="12.42578125" customWidth="1"/>
    <col min="18" max="18" width="14.28515625" customWidth="1"/>
  </cols>
  <sheetData>
    <row r="1" spans="1:19" s="45" customFormat="1" x14ac:dyDescent="0.25">
      <c r="A1" s="43"/>
      <c r="B1" s="43" t="s">
        <v>105</v>
      </c>
      <c r="C1" s="43" t="s">
        <v>376</v>
      </c>
      <c r="D1" s="43" t="s">
        <v>99</v>
      </c>
      <c r="E1" s="43"/>
      <c r="F1" s="43" t="s">
        <v>102</v>
      </c>
      <c r="G1" s="43"/>
      <c r="H1" s="43"/>
      <c r="I1" s="44" t="s">
        <v>100</v>
      </c>
      <c r="J1" s="43"/>
      <c r="K1" s="43"/>
      <c r="L1" s="43"/>
      <c r="M1" s="43" t="s">
        <v>101</v>
      </c>
      <c r="N1" s="43"/>
      <c r="O1" s="43"/>
      <c r="P1" s="43" t="s">
        <v>157</v>
      </c>
      <c r="Q1" s="43" t="s">
        <v>98</v>
      </c>
      <c r="R1" s="43" t="s">
        <v>104</v>
      </c>
    </row>
    <row r="2" spans="1:19" x14ac:dyDescent="0.25">
      <c r="A2" s="3"/>
      <c r="B2" s="3" t="s">
        <v>142</v>
      </c>
      <c r="C2" s="3" t="s">
        <v>364</v>
      </c>
      <c r="D2" s="6" t="s">
        <v>158</v>
      </c>
      <c r="E2" s="6" t="s">
        <v>116</v>
      </c>
      <c r="F2" s="3" t="s">
        <v>52</v>
      </c>
      <c r="G2" s="6">
        <v>68630</v>
      </c>
      <c r="H2" s="6">
        <v>68636</v>
      </c>
      <c r="I2" s="6">
        <v>6</v>
      </c>
      <c r="J2" s="40" t="s">
        <v>143</v>
      </c>
      <c r="K2" s="40" t="s">
        <v>144</v>
      </c>
      <c r="L2" s="6" t="s">
        <v>145</v>
      </c>
      <c r="M2" s="24">
        <v>15</v>
      </c>
      <c r="N2" s="24"/>
      <c r="O2" s="6" t="s">
        <v>145</v>
      </c>
      <c r="P2" s="24">
        <f t="shared" ref="P2:P10" si="0">I2*M2</f>
        <v>90</v>
      </c>
      <c r="Q2" s="16"/>
      <c r="R2" s="16"/>
    </row>
    <row r="3" spans="1:19" x14ac:dyDescent="0.25">
      <c r="A3" s="3"/>
      <c r="B3" s="6" t="s">
        <v>138</v>
      </c>
      <c r="C3" s="6"/>
      <c r="D3" s="6" t="s">
        <v>158</v>
      </c>
      <c r="E3" s="6" t="s">
        <v>116</v>
      </c>
      <c r="F3" s="3" t="s">
        <v>52</v>
      </c>
      <c r="G3" s="6">
        <v>68280</v>
      </c>
      <c r="H3" s="6">
        <v>68286</v>
      </c>
      <c r="I3" s="24">
        <v>6</v>
      </c>
      <c r="J3" s="3" t="s">
        <v>140</v>
      </c>
      <c r="K3" s="3" t="s">
        <v>139</v>
      </c>
      <c r="L3" s="6" t="s">
        <v>141</v>
      </c>
      <c r="M3" s="24">
        <v>15</v>
      </c>
      <c r="N3" s="24"/>
      <c r="O3" s="6" t="s">
        <v>141</v>
      </c>
      <c r="P3" s="24">
        <f t="shared" si="0"/>
        <v>90</v>
      </c>
      <c r="Q3" s="16"/>
      <c r="R3" s="16"/>
    </row>
    <row r="4" spans="1:19" ht="15.75" x14ac:dyDescent="0.25">
      <c r="A4" s="3"/>
      <c r="B4" s="3" t="s">
        <v>115</v>
      </c>
      <c r="C4" s="3"/>
      <c r="D4" s="16" t="s">
        <v>158</v>
      </c>
      <c r="E4" s="16" t="s">
        <v>116</v>
      </c>
      <c r="F4" s="16" t="s">
        <v>48</v>
      </c>
      <c r="G4" s="22">
        <v>76318</v>
      </c>
      <c r="H4" s="22">
        <v>76324</v>
      </c>
      <c r="I4" s="20">
        <f t="shared" ref="I4:I7" si="1">H4-G4</f>
        <v>6</v>
      </c>
      <c r="J4" s="16" t="s">
        <v>117</v>
      </c>
      <c r="K4" s="16" t="s">
        <v>118</v>
      </c>
      <c r="L4" s="22" t="s">
        <v>90</v>
      </c>
      <c r="M4" s="22">
        <v>18</v>
      </c>
      <c r="N4" s="16"/>
      <c r="O4" s="22" t="s">
        <v>90</v>
      </c>
      <c r="P4" s="24">
        <f t="shared" si="0"/>
        <v>108</v>
      </c>
      <c r="Q4" s="16"/>
      <c r="R4" s="16"/>
    </row>
    <row r="5" spans="1:19" ht="15.75" x14ac:dyDescent="0.25">
      <c r="A5" s="3"/>
      <c r="B5" s="3" t="s">
        <v>115</v>
      </c>
      <c r="C5" s="3"/>
      <c r="D5" s="16" t="s">
        <v>158</v>
      </c>
      <c r="E5" s="16" t="s">
        <v>116</v>
      </c>
      <c r="F5" s="16" t="s">
        <v>48</v>
      </c>
      <c r="G5" s="22">
        <v>76324</v>
      </c>
      <c r="H5" s="22">
        <v>76329</v>
      </c>
      <c r="I5" s="20">
        <f t="shared" si="1"/>
        <v>5</v>
      </c>
      <c r="J5" s="16" t="s">
        <v>119</v>
      </c>
      <c r="K5" s="16" t="s">
        <v>120</v>
      </c>
      <c r="L5" s="22" t="s">
        <v>90</v>
      </c>
      <c r="M5" s="22">
        <v>18</v>
      </c>
      <c r="N5" s="16"/>
      <c r="O5" s="22" t="s">
        <v>90</v>
      </c>
      <c r="P5" s="24">
        <f t="shared" si="0"/>
        <v>90</v>
      </c>
      <c r="Q5" s="16"/>
      <c r="R5" s="16"/>
    </row>
    <row r="6" spans="1:19" x14ac:dyDescent="0.25">
      <c r="A6" s="3"/>
      <c r="B6" s="3" t="s">
        <v>125</v>
      </c>
      <c r="C6" s="3"/>
      <c r="D6" s="16" t="s">
        <v>158</v>
      </c>
      <c r="E6" s="16" t="s">
        <v>126</v>
      </c>
      <c r="F6" s="16" t="s">
        <v>48</v>
      </c>
      <c r="G6" s="22">
        <v>76391</v>
      </c>
      <c r="H6" s="22">
        <v>76397</v>
      </c>
      <c r="I6" s="22">
        <f t="shared" si="1"/>
        <v>6</v>
      </c>
      <c r="J6" s="16" t="s">
        <v>127</v>
      </c>
      <c r="K6" s="16" t="s">
        <v>128</v>
      </c>
      <c r="L6" s="22" t="s">
        <v>90</v>
      </c>
      <c r="M6" s="22">
        <v>18</v>
      </c>
      <c r="N6" s="16"/>
      <c r="O6" s="22" t="s">
        <v>90</v>
      </c>
      <c r="P6" s="24">
        <f t="shared" si="0"/>
        <v>108</v>
      </c>
      <c r="Q6" s="16"/>
      <c r="R6" s="16"/>
    </row>
    <row r="7" spans="1:19" x14ac:dyDescent="0.25">
      <c r="A7" s="3"/>
      <c r="B7" s="3" t="s">
        <v>125</v>
      </c>
      <c r="C7" s="3"/>
      <c r="D7" s="16" t="s">
        <v>158</v>
      </c>
      <c r="E7" s="16" t="s">
        <v>126</v>
      </c>
      <c r="F7" s="16" t="s">
        <v>63</v>
      </c>
      <c r="G7" s="22">
        <v>76397</v>
      </c>
      <c r="H7" s="22">
        <v>76403</v>
      </c>
      <c r="I7" s="22">
        <f t="shared" si="1"/>
        <v>6</v>
      </c>
      <c r="J7" s="16" t="s">
        <v>129</v>
      </c>
      <c r="K7" s="16" t="s">
        <v>31</v>
      </c>
      <c r="L7" s="22" t="s">
        <v>90</v>
      </c>
      <c r="M7" s="22">
        <v>18</v>
      </c>
      <c r="N7" s="16"/>
      <c r="O7" s="22" t="s">
        <v>90</v>
      </c>
      <c r="P7" s="24">
        <f t="shared" si="0"/>
        <v>108</v>
      </c>
      <c r="Q7" s="16"/>
      <c r="R7" s="16"/>
    </row>
    <row r="8" spans="1:19" s="5" customFormat="1" x14ac:dyDescent="0.25">
      <c r="A8" s="3"/>
      <c r="B8" s="3" t="s">
        <v>164</v>
      </c>
      <c r="C8" s="3"/>
      <c r="D8" s="3" t="s">
        <v>116</v>
      </c>
      <c r="E8" s="3" t="s">
        <v>126</v>
      </c>
      <c r="F8" s="3" t="s">
        <v>167</v>
      </c>
      <c r="G8" s="24">
        <v>77939</v>
      </c>
      <c r="H8" s="24">
        <v>77944</v>
      </c>
      <c r="I8" s="24">
        <v>5</v>
      </c>
      <c r="J8" s="3" t="s">
        <v>165</v>
      </c>
      <c r="K8" s="3" t="s">
        <v>166</v>
      </c>
      <c r="L8" s="22" t="s">
        <v>90</v>
      </c>
      <c r="M8" s="22">
        <v>18</v>
      </c>
      <c r="N8" s="3"/>
      <c r="O8" s="22" t="s">
        <v>90</v>
      </c>
      <c r="P8" s="24">
        <f t="shared" si="0"/>
        <v>90</v>
      </c>
      <c r="Q8" s="3"/>
      <c r="R8" s="3"/>
    </row>
    <row r="9" spans="1:19" s="5" customFormat="1" x14ac:dyDescent="0.25">
      <c r="A9" s="3"/>
      <c r="B9" s="3" t="s">
        <v>173</v>
      </c>
      <c r="C9" s="3"/>
      <c r="D9" s="3" t="s">
        <v>116</v>
      </c>
      <c r="E9" s="3" t="s">
        <v>126</v>
      </c>
      <c r="F9" s="3" t="s">
        <v>167</v>
      </c>
      <c r="G9" s="24">
        <v>78617</v>
      </c>
      <c r="H9" s="24">
        <v>78623</v>
      </c>
      <c r="I9" s="24">
        <v>6</v>
      </c>
      <c r="J9" s="3" t="s">
        <v>174</v>
      </c>
      <c r="K9" s="3" t="s">
        <v>79</v>
      </c>
      <c r="L9" s="22" t="s">
        <v>90</v>
      </c>
      <c r="M9" s="22">
        <v>18</v>
      </c>
      <c r="N9" s="3"/>
      <c r="O9" s="22" t="s">
        <v>90</v>
      </c>
      <c r="P9" s="24">
        <f t="shared" si="0"/>
        <v>108</v>
      </c>
      <c r="Q9" s="3"/>
      <c r="R9" s="3"/>
    </row>
    <row r="10" spans="1:19" s="5" customFormat="1" x14ac:dyDescent="0.25">
      <c r="A10" s="3"/>
      <c r="B10" s="3" t="s">
        <v>188</v>
      </c>
      <c r="C10" s="3"/>
      <c r="D10" s="3" t="s">
        <v>116</v>
      </c>
      <c r="E10" s="3" t="s">
        <v>126</v>
      </c>
      <c r="F10" s="3" t="s">
        <v>189</v>
      </c>
      <c r="G10" s="6">
        <v>76686</v>
      </c>
      <c r="H10" s="6">
        <v>78731</v>
      </c>
      <c r="I10" s="24">
        <v>45</v>
      </c>
      <c r="J10" s="3" t="s">
        <v>190</v>
      </c>
      <c r="K10" s="3" t="s">
        <v>191</v>
      </c>
      <c r="L10" s="22" t="s">
        <v>90</v>
      </c>
      <c r="M10" s="22">
        <v>18</v>
      </c>
      <c r="N10" s="3"/>
      <c r="O10" s="3" t="s">
        <v>192</v>
      </c>
      <c r="P10" s="24">
        <f t="shared" si="0"/>
        <v>810</v>
      </c>
      <c r="Q10" s="3"/>
      <c r="R10" s="3"/>
    </row>
    <row r="11" spans="1:19" x14ac:dyDescent="0.25">
      <c r="A11" s="25"/>
      <c r="B11" s="25"/>
      <c r="C11" s="25"/>
      <c r="D11" s="25"/>
      <c r="E11" s="25"/>
      <c r="F11" s="25"/>
      <c r="G11" s="25"/>
      <c r="H11" s="25"/>
      <c r="I11" s="73">
        <f>SUM(I2:I10)</f>
        <v>91</v>
      </c>
      <c r="J11" s="25"/>
      <c r="K11" s="25"/>
      <c r="L11" s="25"/>
      <c r="M11" s="25"/>
      <c r="N11" s="25"/>
      <c r="O11" s="25" t="s">
        <v>157</v>
      </c>
      <c r="P11" s="25">
        <f>SUM(P2:P10)</f>
        <v>1602</v>
      </c>
      <c r="Q11" s="30">
        <v>1292</v>
      </c>
      <c r="R11" s="13" t="s">
        <v>211</v>
      </c>
      <c r="S11" s="80" t="s">
        <v>212</v>
      </c>
    </row>
    <row r="12" spans="1:19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1"/>
      <c r="R12" s="16"/>
    </row>
    <row r="13" spans="1:19" x14ac:dyDescent="0.25">
      <c r="A13" s="16"/>
      <c r="B13" s="90" t="s">
        <v>293</v>
      </c>
      <c r="C13" s="90"/>
      <c r="D13" s="16" t="s">
        <v>297</v>
      </c>
      <c r="E13" s="3" t="s">
        <v>126</v>
      </c>
      <c r="F13" s="16" t="s">
        <v>298</v>
      </c>
      <c r="G13" s="16">
        <v>79819</v>
      </c>
      <c r="H13" s="16">
        <v>79825</v>
      </c>
      <c r="I13" s="24">
        <v>6</v>
      </c>
      <c r="J13" s="16" t="s">
        <v>294</v>
      </c>
      <c r="K13" s="16" t="s">
        <v>266</v>
      </c>
      <c r="L13" s="22" t="s">
        <v>90</v>
      </c>
      <c r="M13" s="22">
        <v>18</v>
      </c>
      <c r="N13" s="16"/>
      <c r="O13" s="22" t="s">
        <v>90</v>
      </c>
      <c r="P13" s="24">
        <f t="shared" ref="P13:P14" si="2">I13*M13</f>
        <v>108</v>
      </c>
      <c r="Q13" s="16"/>
      <c r="R13" s="16"/>
      <c r="S13" s="77"/>
    </row>
    <row r="14" spans="1:19" x14ac:dyDescent="0.25">
      <c r="A14" s="16"/>
      <c r="B14" s="90" t="s">
        <v>315</v>
      </c>
      <c r="C14" s="90"/>
      <c r="D14" s="16" t="s">
        <v>316</v>
      </c>
      <c r="E14" s="3" t="s">
        <v>126</v>
      </c>
      <c r="F14" s="16" t="s">
        <v>317</v>
      </c>
      <c r="G14" s="16">
        <v>80648</v>
      </c>
      <c r="H14" s="16">
        <v>80654</v>
      </c>
      <c r="I14" s="22">
        <f t="shared" ref="I14" si="3">SUM(H14-G14)</f>
        <v>6</v>
      </c>
      <c r="J14" s="16" t="s">
        <v>318</v>
      </c>
      <c r="K14" s="16" t="s">
        <v>319</v>
      </c>
      <c r="L14" s="22" t="s">
        <v>90</v>
      </c>
      <c r="M14" s="22">
        <v>18</v>
      </c>
      <c r="N14" s="16"/>
      <c r="O14" s="22" t="s">
        <v>90</v>
      </c>
      <c r="P14" s="24">
        <f t="shared" si="2"/>
        <v>108</v>
      </c>
      <c r="Q14" s="16"/>
      <c r="R14" s="16"/>
    </row>
    <row r="15" spans="1:19" x14ac:dyDescent="0.25">
      <c r="A15" s="16"/>
      <c r="B15" s="90" t="s">
        <v>344</v>
      </c>
      <c r="C15" s="90"/>
      <c r="D15" s="16" t="s">
        <v>316</v>
      </c>
      <c r="E15" s="3" t="s">
        <v>126</v>
      </c>
      <c r="F15" s="16" t="s">
        <v>317</v>
      </c>
      <c r="G15" s="16">
        <v>81696</v>
      </c>
      <c r="H15" s="16">
        <v>81703</v>
      </c>
      <c r="I15" s="22">
        <f t="shared" ref="I15" si="4">SUM(H15-G15)</f>
        <v>7</v>
      </c>
      <c r="J15" s="16" t="s">
        <v>345</v>
      </c>
      <c r="K15" s="16" t="s">
        <v>95</v>
      </c>
      <c r="L15" s="22" t="s">
        <v>90</v>
      </c>
      <c r="M15" s="22">
        <v>18</v>
      </c>
      <c r="N15" s="16"/>
      <c r="O15" s="22" t="s">
        <v>90</v>
      </c>
      <c r="P15" s="24">
        <f t="shared" ref="P15" si="5">I15*M15</f>
        <v>126</v>
      </c>
      <c r="Q15" s="16"/>
      <c r="R15" s="16"/>
    </row>
    <row r="16" spans="1:19" x14ac:dyDescent="0.25">
      <c r="A16" s="16"/>
      <c r="B16" s="90" t="s">
        <v>351</v>
      </c>
      <c r="C16" s="90"/>
      <c r="D16" s="16" t="s">
        <v>316</v>
      </c>
      <c r="E16" s="3" t="s">
        <v>126</v>
      </c>
      <c r="F16" s="16" t="s">
        <v>317</v>
      </c>
      <c r="G16" s="16">
        <v>82240</v>
      </c>
      <c r="H16" s="16">
        <v>82246</v>
      </c>
      <c r="I16" s="22">
        <v>6</v>
      </c>
      <c r="J16" s="16" t="s">
        <v>352</v>
      </c>
      <c r="K16" s="16" t="s">
        <v>322</v>
      </c>
      <c r="L16" s="16" t="s">
        <v>75</v>
      </c>
      <c r="M16" s="22">
        <v>18</v>
      </c>
      <c r="N16" s="16"/>
      <c r="O16" s="22" t="s">
        <v>75</v>
      </c>
      <c r="P16" s="22">
        <v>108</v>
      </c>
      <c r="Q16" s="16"/>
      <c r="R16" s="16"/>
    </row>
    <row r="17" spans="1:18" x14ac:dyDescent="0.25">
      <c r="A17" s="16"/>
      <c r="B17" s="90" t="s">
        <v>372</v>
      </c>
      <c r="C17" s="90"/>
      <c r="D17" s="16" t="s">
        <v>316</v>
      </c>
      <c r="E17" s="3" t="s">
        <v>126</v>
      </c>
      <c r="F17" s="16" t="s">
        <v>317</v>
      </c>
      <c r="G17" s="16">
        <v>82390</v>
      </c>
      <c r="H17" s="16">
        <v>82396</v>
      </c>
      <c r="I17" s="22">
        <v>6</v>
      </c>
      <c r="J17" s="16" t="s">
        <v>258</v>
      </c>
      <c r="K17" s="16" t="s">
        <v>373</v>
      </c>
      <c r="L17" s="22" t="s">
        <v>90</v>
      </c>
      <c r="M17" s="22">
        <v>18</v>
      </c>
      <c r="N17" s="16"/>
      <c r="O17" s="22" t="s">
        <v>90</v>
      </c>
      <c r="P17" s="22">
        <v>108</v>
      </c>
      <c r="Q17" s="16"/>
      <c r="R17" s="16"/>
    </row>
    <row r="18" spans="1:18" s="92" customFormat="1" x14ac:dyDescent="0.25">
      <c r="A18" s="13"/>
      <c r="B18" s="13"/>
      <c r="C18" s="13"/>
      <c r="D18" s="13"/>
      <c r="E18" s="13"/>
      <c r="F18" s="13"/>
      <c r="G18" s="13"/>
      <c r="H18" s="13"/>
      <c r="I18" s="108">
        <f>SUM(I13:I17)</f>
        <v>31</v>
      </c>
      <c r="J18" s="13"/>
      <c r="K18" s="13"/>
      <c r="L18" s="13"/>
      <c r="M18" s="13"/>
      <c r="N18" s="13"/>
      <c r="O18" s="14" t="s">
        <v>157</v>
      </c>
      <c r="P18" s="109">
        <f>SUM(P13:P17)</f>
        <v>558</v>
      </c>
      <c r="Q18" s="13"/>
      <c r="R18" s="13" t="s">
        <v>395</v>
      </c>
    </row>
  </sheetData>
  <phoneticPr fontId="6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3"/>
  <sheetViews>
    <sheetView workbookViewId="0">
      <selection activeCell="F18" sqref="F18"/>
    </sheetView>
  </sheetViews>
  <sheetFormatPr defaultRowHeight="15" x14ac:dyDescent="0.25"/>
  <cols>
    <col min="1" max="1" width="4.5703125" customWidth="1"/>
    <col min="2" max="2" width="10.7109375" customWidth="1"/>
    <col min="3" max="3" width="28.7109375" customWidth="1"/>
    <col min="4" max="4" width="17.85546875" bestFit="1" customWidth="1"/>
    <col min="5" max="5" width="12" bestFit="1" customWidth="1"/>
    <col min="7" max="7" width="10.7109375" bestFit="1" customWidth="1"/>
    <col min="13" max="13" width="16.140625" customWidth="1"/>
    <col min="16" max="16" width="12.85546875" customWidth="1"/>
    <col min="17" max="17" width="20.5703125" customWidth="1"/>
  </cols>
  <sheetData>
    <row r="2" spans="1:18" s="45" customFormat="1" x14ac:dyDescent="0.25">
      <c r="A2" s="46"/>
      <c r="B2" s="46" t="s">
        <v>105</v>
      </c>
      <c r="C2" s="46" t="s">
        <v>99</v>
      </c>
      <c r="E2" s="46" t="s">
        <v>102</v>
      </c>
      <c r="F2" s="46"/>
      <c r="G2" s="46"/>
      <c r="H2" s="47" t="s">
        <v>180</v>
      </c>
      <c r="I2" s="46" t="s">
        <v>181</v>
      </c>
      <c r="J2" s="46" t="s">
        <v>182</v>
      </c>
      <c r="K2" s="46" t="s">
        <v>101</v>
      </c>
      <c r="L2" s="46"/>
      <c r="M2" s="46"/>
      <c r="N2" s="46"/>
      <c r="O2" s="46"/>
      <c r="P2" s="46" t="s">
        <v>98</v>
      </c>
      <c r="Q2" s="46" t="s">
        <v>104</v>
      </c>
    </row>
    <row r="3" spans="1:18" x14ac:dyDescent="0.25">
      <c r="A3" s="6"/>
      <c r="B3" s="24" t="s">
        <v>149</v>
      </c>
      <c r="C3" s="24" t="s">
        <v>185</v>
      </c>
      <c r="D3" s="24" t="s">
        <v>150</v>
      </c>
      <c r="E3" s="48" t="s">
        <v>151</v>
      </c>
      <c r="F3" s="3"/>
      <c r="G3" s="48"/>
      <c r="H3" s="3">
        <v>69249</v>
      </c>
      <c r="I3" s="3">
        <v>69260</v>
      </c>
      <c r="J3" s="24">
        <f t="shared" ref="J3:J5" si="0">I3-H3</f>
        <v>11</v>
      </c>
      <c r="K3" s="6">
        <v>18</v>
      </c>
      <c r="L3" s="6">
        <v>165</v>
      </c>
      <c r="M3" s="3" t="s">
        <v>26</v>
      </c>
      <c r="N3" s="3" t="s">
        <v>152</v>
      </c>
      <c r="O3" s="3" t="s">
        <v>153</v>
      </c>
      <c r="P3" s="16">
        <f>J3*K3</f>
        <v>198</v>
      </c>
      <c r="Q3" s="16"/>
    </row>
    <row r="4" spans="1:18" x14ac:dyDescent="0.25">
      <c r="A4" s="3"/>
      <c r="B4" s="24" t="s">
        <v>154</v>
      </c>
      <c r="C4" s="24" t="s">
        <v>185</v>
      </c>
      <c r="D4" s="24" t="s">
        <v>184</v>
      </c>
      <c r="E4" s="3" t="s">
        <v>2</v>
      </c>
      <c r="F4" s="3"/>
      <c r="G4" s="3"/>
      <c r="H4" s="3">
        <v>77925</v>
      </c>
      <c r="I4" s="3">
        <v>77939</v>
      </c>
      <c r="J4" s="24">
        <f t="shared" si="0"/>
        <v>14</v>
      </c>
      <c r="K4" s="24">
        <v>18</v>
      </c>
      <c r="L4" s="24">
        <v>252</v>
      </c>
      <c r="M4" s="3" t="s">
        <v>26</v>
      </c>
      <c r="N4" s="3" t="s">
        <v>155</v>
      </c>
      <c r="O4" s="3" t="s">
        <v>156</v>
      </c>
      <c r="P4" s="16">
        <f>J4*K4</f>
        <v>252</v>
      </c>
      <c r="Q4" s="16"/>
    </row>
    <row r="5" spans="1:18" ht="15.75" x14ac:dyDescent="0.25">
      <c r="A5" s="3"/>
      <c r="B5" s="3" t="s">
        <v>66</v>
      </c>
      <c r="C5" s="3" t="s">
        <v>187</v>
      </c>
      <c r="D5" s="3" t="s">
        <v>67</v>
      </c>
      <c r="E5" s="4" t="s">
        <v>63</v>
      </c>
      <c r="H5" s="3">
        <v>75376</v>
      </c>
      <c r="I5" s="3">
        <v>75388</v>
      </c>
      <c r="J5" s="24">
        <f t="shared" si="0"/>
        <v>12</v>
      </c>
      <c r="K5" s="75">
        <v>18</v>
      </c>
      <c r="L5" s="6"/>
      <c r="M5" s="3" t="s">
        <v>55</v>
      </c>
      <c r="N5" s="3"/>
      <c r="O5" s="3"/>
      <c r="P5" s="16">
        <f>J5*K5</f>
        <v>216</v>
      </c>
      <c r="Q5" s="3"/>
      <c r="R5" s="51" t="s">
        <v>186</v>
      </c>
    </row>
    <row r="6" spans="1:18" s="28" customFormat="1" x14ac:dyDescent="0.25">
      <c r="A6" s="25"/>
      <c r="B6" s="25"/>
      <c r="C6" s="25" t="s">
        <v>203</v>
      </c>
      <c r="D6" s="25"/>
      <c r="E6" s="25"/>
      <c r="F6" s="25"/>
      <c r="G6" s="25"/>
      <c r="H6" s="25"/>
      <c r="I6" s="25"/>
      <c r="J6" s="73">
        <f>SUM(J3:J5)</f>
        <v>37</v>
      </c>
      <c r="K6" s="25"/>
      <c r="L6" s="25"/>
      <c r="M6" s="25"/>
      <c r="N6" s="25"/>
      <c r="O6" s="25" t="s">
        <v>183</v>
      </c>
      <c r="P6" s="25">
        <f>SUM(P3:P5)</f>
        <v>666</v>
      </c>
      <c r="Q6" s="13" t="s">
        <v>204</v>
      </c>
      <c r="R6" s="28" t="s">
        <v>203</v>
      </c>
    </row>
    <row r="7" spans="1:18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Q7" s="16"/>
    </row>
    <row r="8" spans="1:18" x14ac:dyDescent="0.25">
      <c r="A8" s="16"/>
      <c r="B8" s="82" t="s">
        <v>237</v>
      </c>
      <c r="C8" s="16" t="s">
        <v>150</v>
      </c>
      <c r="D8" s="16" t="s">
        <v>238</v>
      </c>
      <c r="E8" s="16" t="s">
        <v>239</v>
      </c>
      <c r="F8" s="16"/>
      <c r="G8" s="16"/>
      <c r="H8" s="16">
        <v>79252</v>
      </c>
      <c r="I8" s="16">
        <v>79265</v>
      </c>
      <c r="J8" s="16">
        <v>13</v>
      </c>
      <c r="K8" s="16">
        <v>18</v>
      </c>
      <c r="L8" s="16">
        <v>234</v>
      </c>
      <c r="M8" s="16" t="s">
        <v>90</v>
      </c>
      <c r="N8" s="16" t="s">
        <v>240</v>
      </c>
      <c r="O8" s="16" t="s">
        <v>41</v>
      </c>
      <c r="P8" s="16">
        <v>234</v>
      </c>
      <c r="Q8" s="16"/>
    </row>
    <row r="9" spans="1:18" x14ac:dyDescent="0.25">
      <c r="B9" s="82" t="s">
        <v>233</v>
      </c>
      <c r="C9" s="16" t="s">
        <v>62</v>
      </c>
      <c r="D9" s="16" t="s">
        <v>234</v>
      </c>
      <c r="E9" s="16" t="s">
        <v>235</v>
      </c>
      <c r="F9" s="16"/>
      <c r="G9" s="16"/>
      <c r="H9" s="16">
        <v>79231</v>
      </c>
      <c r="I9" s="16">
        <v>79239</v>
      </c>
      <c r="J9" s="16">
        <v>8</v>
      </c>
      <c r="K9" s="16">
        <v>18</v>
      </c>
      <c r="L9" s="16">
        <v>144</v>
      </c>
      <c r="M9" s="16" t="s">
        <v>236</v>
      </c>
      <c r="N9" s="16" t="s">
        <v>28</v>
      </c>
      <c r="O9" s="16" t="s">
        <v>128</v>
      </c>
      <c r="P9" s="16">
        <v>144</v>
      </c>
    </row>
    <row r="10" spans="1:18" s="83" customForma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 t="s">
        <v>248</v>
      </c>
      <c r="P10" s="25">
        <f>SUM(P8:P9)</f>
        <v>378</v>
      </c>
      <c r="Q10" s="13" t="s">
        <v>249</v>
      </c>
    </row>
    <row r="11" spans="1:18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8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1:18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activeCell="L19" sqref="L19"/>
    </sheetView>
  </sheetViews>
  <sheetFormatPr defaultRowHeight="15" x14ac:dyDescent="0.25"/>
  <cols>
    <col min="1" max="1" width="5" customWidth="1"/>
    <col min="2" max="2" width="10.42578125" customWidth="1"/>
    <col min="5" max="5" width="11.42578125" bestFit="1" customWidth="1"/>
    <col min="15" max="15" width="7" customWidth="1"/>
    <col min="16" max="16" width="16.140625" customWidth="1"/>
    <col min="17" max="17" width="15" customWidth="1"/>
  </cols>
  <sheetData>
    <row r="1" spans="1:17" s="45" customFormat="1" x14ac:dyDescent="0.25">
      <c r="A1" s="43"/>
      <c r="B1" s="43" t="s">
        <v>105</v>
      </c>
      <c r="C1" s="43" t="s">
        <v>99</v>
      </c>
      <c r="D1" s="43"/>
      <c r="E1" s="43" t="s">
        <v>102</v>
      </c>
      <c r="F1" s="43"/>
      <c r="G1" s="43"/>
      <c r="H1" s="44" t="s">
        <v>100</v>
      </c>
      <c r="I1" s="43"/>
      <c r="J1" s="43"/>
      <c r="K1" s="43"/>
      <c r="L1" s="43" t="s">
        <v>101</v>
      </c>
      <c r="M1" s="43"/>
      <c r="N1" s="43"/>
      <c r="O1" s="43"/>
      <c r="P1" s="43" t="s">
        <v>98</v>
      </c>
      <c r="Q1" s="43" t="s">
        <v>104</v>
      </c>
    </row>
    <row r="2" spans="1:17" ht="15.75" x14ac:dyDescent="0.25">
      <c r="A2" s="3"/>
      <c r="B2" s="3" t="s">
        <v>61</v>
      </c>
      <c r="C2" s="3" t="s">
        <v>62</v>
      </c>
      <c r="D2" s="3" t="s">
        <v>62</v>
      </c>
      <c r="E2" s="38" t="s">
        <v>63</v>
      </c>
      <c r="F2" s="3">
        <v>75319</v>
      </c>
      <c r="G2" s="3">
        <v>75325</v>
      </c>
      <c r="H2" s="1">
        <v>6</v>
      </c>
      <c r="I2" s="3" t="s">
        <v>64</v>
      </c>
      <c r="J2" s="3" t="s">
        <v>65</v>
      </c>
      <c r="K2" s="3" t="s">
        <v>55</v>
      </c>
      <c r="L2" s="6">
        <v>18</v>
      </c>
      <c r="M2" s="3"/>
      <c r="N2" s="3"/>
      <c r="O2" s="3"/>
      <c r="P2" s="20">
        <f>H2*L2</f>
        <v>108</v>
      </c>
      <c r="Q2" s="3"/>
    </row>
    <row r="3" spans="1:17" ht="15.75" x14ac:dyDescent="0.25">
      <c r="A3" s="3"/>
      <c r="B3" s="3" t="s">
        <v>69</v>
      </c>
      <c r="C3" s="3" t="s">
        <v>62</v>
      </c>
      <c r="D3" s="3" t="s">
        <v>62</v>
      </c>
      <c r="E3" s="3" t="s">
        <v>63</v>
      </c>
      <c r="F3" s="3">
        <v>75857</v>
      </c>
      <c r="G3" s="3">
        <v>75865</v>
      </c>
      <c r="H3" s="1">
        <f t="shared" ref="H3:H5" si="0">G3-F3</f>
        <v>8</v>
      </c>
      <c r="I3" s="3" t="s">
        <v>28</v>
      </c>
      <c r="J3" s="3" t="s">
        <v>70</v>
      </c>
      <c r="K3" s="3" t="s">
        <v>71</v>
      </c>
      <c r="L3" s="6">
        <v>18</v>
      </c>
      <c r="M3" s="3"/>
      <c r="N3" s="3"/>
      <c r="O3" s="3"/>
      <c r="P3" s="20">
        <f t="shared" ref="P3:P5" si="1">H3*L3</f>
        <v>144</v>
      </c>
      <c r="Q3" s="3"/>
    </row>
    <row r="4" spans="1:17" ht="15.75" x14ac:dyDescent="0.25">
      <c r="A4" s="3"/>
      <c r="B4" s="3" t="s">
        <v>72</v>
      </c>
      <c r="C4" s="3" t="s">
        <v>62</v>
      </c>
      <c r="D4" s="3" t="s">
        <v>62</v>
      </c>
      <c r="E4" s="3" t="s">
        <v>63</v>
      </c>
      <c r="F4" s="3">
        <v>75908</v>
      </c>
      <c r="G4" s="3">
        <v>75915</v>
      </c>
      <c r="H4" s="1">
        <f t="shared" si="0"/>
        <v>7</v>
      </c>
      <c r="I4" s="3" t="s">
        <v>73</v>
      </c>
      <c r="J4" s="3" t="s">
        <v>74</v>
      </c>
      <c r="K4" s="3" t="s">
        <v>75</v>
      </c>
      <c r="L4" s="6">
        <v>18</v>
      </c>
      <c r="M4" s="3"/>
      <c r="N4" s="3"/>
      <c r="O4" s="3"/>
      <c r="P4" s="20">
        <f t="shared" si="1"/>
        <v>126</v>
      </c>
      <c r="Q4" s="3"/>
    </row>
    <row r="5" spans="1:17" ht="15.75" x14ac:dyDescent="0.25">
      <c r="A5" s="52"/>
      <c r="B5" s="52" t="s">
        <v>134</v>
      </c>
      <c r="C5" s="52" t="s">
        <v>62</v>
      </c>
      <c r="D5" s="52" t="s">
        <v>62</v>
      </c>
      <c r="E5" s="52" t="s">
        <v>137</v>
      </c>
      <c r="F5" s="52">
        <v>77690</v>
      </c>
      <c r="G5" s="52">
        <v>77698</v>
      </c>
      <c r="H5" s="53">
        <f t="shared" si="0"/>
        <v>8</v>
      </c>
      <c r="I5" s="52" t="s">
        <v>135</v>
      </c>
      <c r="J5" s="52" t="s">
        <v>136</v>
      </c>
      <c r="K5" s="52" t="s">
        <v>90</v>
      </c>
      <c r="L5" s="54">
        <v>18</v>
      </c>
      <c r="M5" s="52"/>
      <c r="N5" s="52"/>
      <c r="O5" s="3"/>
      <c r="P5" s="20">
        <f t="shared" si="1"/>
        <v>144</v>
      </c>
      <c r="Q5" s="3"/>
    </row>
    <row r="6" spans="1:17" x14ac:dyDescent="0.25">
      <c r="A6" s="55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7"/>
      <c r="O6" s="57" t="s">
        <v>157</v>
      </c>
      <c r="P6" s="30">
        <f>SUM(P2:P5)</f>
        <v>522</v>
      </c>
      <c r="Q6" s="13" t="s">
        <v>160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activeCell="M12" sqref="M12"/>
    </sheetView>
  </sheetViews>
  <sheetFormatPr defaultRowHeight="15" x14ac:dyDescent="0.25"/>
  <cols>
    <col min="2" max="2" width="10.140625" bestFit="1" customWidth="1"/>
    <col min="4" max="4" width="10.7109375" bestFit="1" customWidth="1"/>
    <col min="5" max="5" width="11.5703125" bestFit="1" customWidth="1"/>
    <col min="11" max="11" width="17" bestFit="1" customWidth="1"/>
    <col min="14" max="14" width="17" bestFit="1" customWidth="1"/>
    <col min="16" max="16" width="16.42578125" bestFit="1" customWidth="1"/>
    <col min="17" max="17" width="15.7109375" customWidth="1"/>
  </cols>
  <sheetData>
    <row r="1" spans="1:17" s="45" customFormat="1" x14ac:dyDescent="0.25">
      <c r="A1" s="43"/>
      <c r="B1" s="43" t="s">
        <v>105</v>
      </c>
      <c r="C1" s="43" t="s">
        <v>99</v>
      </c>
      <c r="D1" s="43"/>
      <c r="E1" s="43" t="s">
        <v>102</v>
      </c>
      <c r="F1" s="43"/>
      <c r="G1" s="43"/>
      <c r="H1" s="44" t="s">
        <v>100</v>
      </c>
      <c r="I1" s="43"/>
      <c r="J1" s="43"/>
      <c r="K1" s="43"/>
      <c r="L1" s="43" t="s">
        <v>101</v>
      </c>
      <c r="M1" s="43"/>
      <c r="N1" s="43"/>
      <c r="O1" s="43"/>
      <c r="P1" s="43" t="s">
        <v>98</v>
      </c>
      <c r="Q1" s="43" t="s">
        <v>104</v>
      </c>
    </row>
    <row r="2" spans="1:17" x14ac:dyDescent="0.25">
      <c r="A2" s="25"/>
      <c r="B2" s="25" t="s">
        <v>121</v>
      </c>
      <c r="C2" s="25" t="s">
        <v>122</v>
      </c>
      <c r="D2" s="25" t="s">
        <v>91</v>
      </c>
      <c r="E2" s="25"/>
      <c r="F2" s="25">
        <v>76334</v>
      </c>
      <c r="G2" s="25">
        <v>76390</v>
      </c>
      <c r="H2" s="25">
        <v>56</v>
      </c>
      <c r="I2" s="72" t="s">
        <v>123</v>
      </c>
      <c r="J2" s="25" t="s">
        <v>124</v>
      </c>
      <c r="K2" s="25" t="s">
        <v>55</v>
      </c>
      <c r="L2" s="25">
        <v>18</v>
      </c>
      <c r="M2" s="25"/>
      <c r="N2" s="25" t="s">
        <v>90</v>
      </c>
      <c r="O2" s="25"/>
      <c r="P2" s="73">
        <f>L2*H2</f>
        <v>1008</v>
      </c>
      <c r="Q2" s="13" t="s">
        <v>159</v>
      </c>
    </row>
    <row r="3" spans="1:17" x14ac:dyDescent="0.25">
      <c r="A3" s="16"/>
      <c r="B3" s="16"/>
      <c r="C3" s="16"/>
      <c r="D3" s="16"/>
      <c r="E3" s="16"/>
      <c r="F3" s="16"/>
      <c r="G3" s="16"/>
      <c r="H3" s="16"/>
      <c r="I3" s="23"/>
      <c r="J3" s="16"/>
      <c r="K3" s="16"/>
      <c r="L3" s="16"/>
      <c r="M3" s="16"/>
      <c r="N3" s="16"/>
      <c r="O3" s="16"/>
      <c r="P3" s="22"/>
      <c r="Q3" s="16"/>
    </row>
    <row r="4" spans="1:17" x14ac:dyDescent="0.25">
      <c r="A4" s="16"/>
      <c r="B4" s="90" t="s">
        <v>325</v>
      </c>
      <c r="C4" s="16" t="s">
        <v>122</v>
      </c>
      <c r="D4" s="16" t="s">
        <v>91</v>
      </c>
      <c r="E4" s="16" t="s">
        <v>2</v>
      </c>
      <c r="F4" s="16">
        <v>81487</v>
      </c>
      <c r="G4" s="16">
        <v>81499</v>
      </c>
      <c r="H4" s="16">
        <f t="shared" ref="H4" si="0">SUM(G4-F4)</f>
        <v>12</v>
      </c>
      <c r="I4" s="16" t="s">
        <v>8</v>
      </c>
      <c r="J4" s="16" t="s">
        <v>326</v>
      </c>
      <c r="K4" s="3" t="s">
        <v>90</v>
      </c>
      <c r="L4" s="16">
        <v>18</v>
      </c>
      <c r="M4" s="16"/>
      <c r="N4" s="3" t="s">
        <v>90</v>
      </c>
      <c r="O4" s="16"/>
      <c r="P4" s="22">
        <f>L4*H4</f>
        <v>216</v>
      </c>
      <c r="Q4" s="16"/>
    </row>
    <row r="5" spans="1:17" x14ac:dyDescent="0.25">
      <c r="A5" s="16"/>
      <c r="B5" s="90" t="s">
        <v>338</v>
      </c>
      <c r="C5" s="16" t="s">
        <v>122</v>
      </c>
      <c r="D5" s="16" t="s">
        <v>91</v>
      </c>
      <c r="E5" s="16" t="s">
        <v>2</v>
      </c>
      <c r="F5" s="16">
        <v>81663</v>
      </c>
      <c r="G5" s="16">
        <v>81674</v>
      </c>
      <c r="H5" s="16">
        <f t="shared" ref="H5" si="1">SUM(G5-F5)</f>
        <v>11</v>
      </c>
      <c r="I5" s="16" t="s">
        <v>342</v>
      </c>
      <c r="J5" s="16" t="s">
        <v>343</v>
      </c>
      <c r="K5" s="3" t="s">
        <v>90</v>
      </c>
      <c r="L5" s="16">
        <v>18</v>
      </c>
      <c r="M5" s="16"/>
      <c r="N5" s="3" t="s">
        <v>90</v>
      </c>
      <c r="O5" s="16"/>
      <c r="P5" s="22">
        <f>L5*H5</f>
        <v>198</v>
      </c>
      <c r="Q5" s="16"/>
    </row>
    <row r="6" spans="1:17" s="92" customFormat="1" x14ac:dyDescent="0.25">
      <c r="A6" s="13"/>
      <c r="B6" s="13"/>
      <c r="C6" s="13"/>
      <c r="D6" s="13"/>
      <c r="E6" s="13"/>
      <c r="F6" s="13"/>
      <c r="G6" s="13"/>
      <c r="H6" s="13">
        <f>SUM(H4:H5)</f>
        <v>23</v>
      </c>
      <c r="I6" s="13"/>
      <c r="J6" s="13"/>
      <c r="K6" s="13"/>
      <c r="L6" s="13"/>
      <c r="M6" s="13"/>
      <c r="N6" s="13"/>
      <c r="O6" s="13" t="s">
        <v>157</v>
      </c>
      <c r="P6" s="14">
        <f>SUM(P4:P5)</f>
        <v>414</v>
      </c>
      <c r="Q6" s="13" t="s">
        <v>396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opLeftCell="A16" workbookViewId="0">
      <selection activeCell="G33" sqref="G33"/>
    </sheetView>
  </sheetViews>
  <sheetFormatPr defaultRowHeight="15" x14ac:dyDescent="0.25"/>
  <cols>
    <col min="1" max="1" width="5.42578125" customWidth="1"/>
    <col min="2" max="2" width="10.5703125" customWidth="1"/>
    <col min="3" max="3" width="19.7109375" bestFit="1" customWidth="1"/>
    <col min="4" max="4" width="11.85546875" bestFit="1" customWidth="1"/>
    <col min="5" max="5" width="52.85546875" bestFit="1" customWidth="1"/>
    <col min="11" max="11" width="18" bestFit="1" customWidth="1"/>
    <col min="15" max="15" width="7" customWidth="1"/>
    <col min="16" max="16" width="16.28515625" customWidth="1"/>
    <col min="17" max="17" width="17" customWidth="1"/>
  </cols>
  <sheetData>
    <row r="1" spans="1:17" s="45" customFormat="1" x14ac:dyDescent="0.25">
      <c r="A1" s="43"/>
      <c r="B1" s="43" t="s">
        <v>105</v>
      </c>
      <c r="C1" s="43" t="s">
        <v>99</v>
      </c>
      <c r="D1" s="43"/>
      <c r="E1" s="43" t="s">
        <v>102</v>
      </c>
      <c r="F1" s="43"/>
      <c r="G1" s="43"/>
      <c r="H1" s="44" t="s">
        <v>100</v>
      </c>
      <c r="I1" s="43"/>
      <c r="J1" s="43"/>
      <c r="K1" s="43"/>
      <c r="L1" s="43" t="s">
        <v>101</v>
      </c>
      <c r="M1" s="43"/>
      <c r="N1" s="43"/>
      <c r="O1" s="43"/>
      <c r="P1" s="43" t="s">
        <v>98</v>
      </c>
      <c r="Q1" s="43" t="s">
        <v>104</v>
      </c>
    </row>
    <row r="2" spans="1:17" ht="15.75" x14ac:dyDescent="0.25">
      <c r="A2" s="3"/>
      <c r="B2" s="3" t="s">
        <v>46</v>
      </c>
      <c r="C2" s="3" t="s">
        <v>47</v>
      </c>
      <c r="D2" s="3" t="s">
        <v>47</v>
      </c>
      <c r="E2" s="3" t="s">
        <v>48</v>
      </c>
      <c r="F2" s="3">
        <v>75303</v>
      </c>
      <c r="G2" s="3">
        <v>75309</v>
      </c>
      <c r="H2" s="1">
        <f t="shared" ref="H2:H4" si="0">G2-F2</f>
        <v>6</v>
      </c>
      <c r="I2" s="3" t="s">
        <v>49</v>
      </c>
      <c r="J2" s="3"/>
      <c r="K2" s="3" t="s">
        <v>50</v>
      </c>
      <c r="L2" s="6">
        <v>15</v>
      </c>
      <c r="M2" s="3"/>
      <c r="N2" s="3"/>
      <c r="O2" s="3"/>
      <c r="P2" s="2">
        <f t="shared" ref="P2:P3" si="1">H2*L2</f>
        <v>90</v>
      </c>
      <c r="Q2" s="3"/>
    </row>
    <row r="3" spans="1:17" ht="15.75" x14ac:dyDescent="0.25">
      <c r="A3" s="3"/>
      <c r="B3" s="3" t="s">
        <v>51</v>
      </c>
      <c r="C3" s="3" t="s">
        <v>47</v>
      </c>
      <c r="D3" s="3" t="s">
        <v>47</v>
      </c>
      <c r="E3" s="3" t="s">
        <v>52</v>
      </c>
      <c r="F3" s="3">
        <v>75371</v>
      </c>
      <c r="G3" s="3">
        <v>75376</v>
      </c>
      <c r="H3" s="1">
        <f t="shared" si="0"/>
        <v>5</v>
      </c>
      <c r="I3" s="3" t="s">
        <v>53</v>
      </c>
      <c r="J3" s="3" t="s">
        <v>54</v>
      </c>
      <c r="K3" s="3" t="s">
        <v>55</v>
      </c>
      <c r="L3" s="6">
        <v>15</v>
      </c>
      <c r="M3" s="3"/>
      <c r="N3" s="3"/>
      <c r="O3" s="3"/>
      <c r="P3" s="2">
        <f t="shared" si="1"/>
        <v>75</v>
      </c>
      <c r="Q3" s="3"/>
    </row>
    <row r="4" spans="1:17" ht="15.75" x14ac:dyDescent="0.25">
      <c r="A4" s="16"/>
      <c r="B4" s="3" t="s">
        <v>175</v>
      </c>
      <c r="C4" s="3" t="s">
        <v>47</v>
      </c>
      <c r="D4" s="3" t="s">
        <v>47</v>
      </c>
      <c r="E4" s="16" t="s">
        <v>176</v>
      </c>
      <c r="F4" s="3">
        <v>78623</v>
      </c>
      <c r="G4" s="16">
        <v>78658</v>
      </c>
      <c r="H4" s="1">
        <f t="shared" si="0"/>
        <v>35</v>
      </c>
      <c r="I4" s="3" t="s">
        <v>177</v>
      </c>
      <c r="J4" s="16" t="s">
        <v>179</v>
      </c>
      <c r="K4" s="16" t="s">
        <v>178</v>
      </c>
      <c r="L4" s="6">
        <v>15</v>
      </c>
      <c r="M4" s="16"/>
      <c r="N4" s="16"/>
      <c r="O4" s="16"/>
      <c r="P4" s="2" t="s">
        <v>286</v>
      </c>
      <c r="Q4" s="16"/>
    </row>
    <row r="5" spans="1:17" x14ac:dyDescent="0.25">
      <c r="A5" s="55"/>
      <c r="B5" s="56"/>
      <c r="C5" s="56"/>
      <c r="D5" s="56"/>
      <c r="E5" s="56"/>
      <c r="F5" s="56"/>
      <c r="G5" s="56"/>
      <c r="H5" s="81">
        <f>SUM(H2:H4)</f>
        <v>46</v>
      </c>
      <c r="I5" s="56"/>
      <c r="J5" s="56"/>
      <c r="K5" s="56"/>
      <c r="L5" s="56"/>
      <c r="M5" s="56"/>
      <c r="N5" s="56"/>
      <c r="O5" s="57"/>
      <c r="P5" s="58">
        <f>SUM(P2:P4)</f>
        <v>165</v>
      </c>
      <c r="Q5" s="13" t="s">
        <v>213</v>
      </c>
    </row>
    <row r="9" spans="1:17" x14ac:dyDescent="0.25">
      <c r="B9" s="16" t="s">
        <v>218</v>
      </c>
      <c r="C9" s="16" t="s">
        <v>219</v>
      </c>
      <c r="D9" s="16" t="s">
        <v>47</v>
      </c>
      <c r="E9" s="16" t="s">
        <v>220</v>
      </c>
      <c r="F9" s="16">
        <v>78929</v>
      </c>
      <c r="G9" s="16">
        <v>78961</v>
      </c>
      <c r="H9" s="16">
        <f>G9-F9</f>
        <v>32</v>
      </c>
      <c r="I9" s="16" t="s">
        <v>221</v>
      </c>
      <c r="J9" s="16"/>
      <c r="K9" s="16" t="s">
        <v>222</v>
      </c>
      <c r="L9" s="16">
        <v>15</v>
      </c>
      <c r="M9" s="16"/>
      <c r="N9" s="16"/>
      <c r="O9" s="16"/>
      <c r="P9" s="16">
        <f>L9*H9</f>
        <v>480</v>
      </c>
    </row>
    <row r="10" spans="1:17" x14ac:dyDescent="0.25">
      <c r="B10" s="82" t="s">
        <v>378</v>
      </c>
      <c r="C10" s="16" t="s">
        <v>228</v>
      </c>
      <c r="D10" s="16" t="s">
        <v>47</v>
      </c>
      <c r="E10" s="16" t="s">
        <v>229</v>
      </c>
      <c r="F10" s="16">
        <v>79246</v>
      </c>
      <c r="G10" s="16">
        <v>79252</v>
      </c>
      <c r="H10" s="16">
        <f t="shared" ref="H10:H11" si="2">G10-F10</f>
        <v>6</v>
      </c>
      <c r="I10" s="16" t="s">
        <v>230</v>
      </c>
      <c r="J10" s="16" t="s">
        <v>231</v>
      </c>
      <c r="K10" s="16" t="s">
        <v>232</v>
      </c>
      <c r="L10" s="16">
        <v>15</v>
      </c>
      <c r="M10" s="16"/>
      <c r="N10" s="16"/>
      <c r="O10" s="16"/>
      <c r="P10" s="16">
        <f t="shared" ref="P10:P11" si="3">L10*H10</f>
        <v>90</v>
      </c>
    </row>
    <row r="11" spans="1:17" x14ac:dyDescent="0.25">
      <c r="B11" s="82" t="s">
        <v>241</v>
      </c>
      <c r="C11" s="16" t="s">
        <v>242</v>
      </c>
      <c r="D11" s="16" t="s">
        <v>47</v>
      </c>
      <c r="E11" s="16" t="s">
        <v>229</v>
      </c>
      <c r="F11" s="16">
        <v>79430</v>
      </c>
      <c r="G11" s="16">
        <v>79436</v>
      </c>
      <c r="H11" s="16">
        <f t="shared" si="2"/>
        <v>6</v>
      </c>
      <c r="I11" s="16" t="s">
        <v>243</v>
      </c>
      <c r="J11" s="16" t="s">
        <v>244</v>
      </c>
      <c r="K11" s="16" t="s">
        <v>90</v>
      </c>
      <c r="L11" s="16">
        <v>15</v>
      </c>
      <c r="M11" s="16"/>
      <c r="N11" s="16"/>
      <c r="O11" s="16"/>
      <c r="P11" s="16">
        <f t="shared" si="3"/>
        <v>90</v>
      </c>
    </row>
    <row r="12" spans="1:17" s="83" customFormat="1" x14ac:dyDescent="0.25">
      <c r="A12" s="28"/>
      <c r="B12" s="25"/>
      <c r="C12" s="25"/>
      <c r="D12" s="25"/>
      <c r="E12" s="25"/>
      <c r="F12" s="25"/>
      <c r="G12" s="25"/>
      <c r="H12" s="25">
        <f>SUM(H9:H11)</f>
        <v>44</v>
      </c>
      <c r="I12" s="25"/>
      <c r="J12" s="25"/>
      <c r="K12" s="25"/>
      <c r="L12" s="25"/>
      <c r="M12" s="25"/>
      <c r="N12" s="25"/>
      <c r="O12" s="25" t="s">
        <v>157</v>
      </c>
      <c r="P12" s="25">
        <f>SUM(P9:P11)</f>
        <v>660</v>
      </c>
      <c r="Q12" s="83" t="s">
        <v>250</v>
      </c>
    </row>
    <row r="13" spans="1:17" x14ac:dyDescent="0.25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17" x14ac:dyDescent="0.25">
      <c r="B14" s="82" t="s">
        <v>379</v>
      </c>
      <c r="C14" s="16" t="s">
        <v>228</v>
      </c>
      <c r="D14" s="16" t="s">
        <v>47</v>
      </c>
      <c r="E14" s="16" t="s">
        <v>229</v>
      </c>
      <c r="F14" s="16">
        <v>79493</v>
      </c>
      <c r="G14" s="16">
        <v>79499</v>
      </c>
      <c r="H14" s="16">
        <f t="shared" ref="H14:H18" si="4">G14-F14</f>
        <v>6</v>
      </c>
      <c r="I14" s="16" t="s">
        <v>256</v>
      </c>
      <c r="J14" s="16" t="s">
        <v>257</v>
      </c>
      <c r="K14" s="16" t="s">
        <v>232</v>
      </c>
      <c r="L14" s="16">
        <v>15</v>
      </c>
      <c r="M14" s="16"/>
      <c r="N14" s="16"/>
      <c r="O14" s="16"/>
      <c r="P14" s="16">
        <f>H14*L14</f>
        <v>90</v>
      </c>
    </row>
    <row r="15" spans="1:17" x14ac:dyDescent="0.25">
      <c r="B15" s="82" t="s">
        <v>379</v>
      </c>
      <c r="C15" s="16" t="s">
        <v>228</v>
      </c>
      <c r="D15" s="16" t="s">
        <v>47</v>
      </c>
      <c r="E15" s="16" t="s">
        <v>229</v>
      </c>
      <c r="F15" s="16">
        <v>79499</v>
      </c>
      <c r="G15" s="16">
        <v>79505</v>
      </c>
      <c r="H15" s="16">
        <f t="shared" si="4"/>
        <v>6</v>
      </c>
      <c r="I15" s="16" t="s">
        <v>258</v>
      </c>
      <c r="J15" s="16" t="s">
        <v>259</v>
      </c>
      <c r="K15" s="16" t="s">
        <v>232</v>
      </c>
      <c r="L15" s="16">
        <v>15</v>
      </c>
      <c r="M15" s="16"/>
      <c r="N15" s="16"/>
      <c r="O15" s="16"/>
      <c r="P15" s="16">
        <f t="shared" ref="P15:P29" si="5">H15*L15</f>
        <v>90</v>
      </c>
    </row>
    <row r="16" spans="1:17" x14ac:dyDescent="0.25">
      <c r="B16" s="82" t="s">
        <v>380</v>
      </c>
      <c r="C16" s="16" t="s">
        <v>228</v>
      </c>
      <c r="D16" s="16" t="s">
        <v>47</v>
      </c>
      <c r="E16" s="16" t="s">
        <v>229</v>
      </c>
      <c r="F16" s="16">
        <v>79505</v>
      </c>
      <c r="G16" s="16">
        <v>79511</v>
      </c>
      <c r="H16" s="16">
        <f t="shared" si="4"/>
        <v>6</v>
      </c>
      <c r="I16" s="89" t="s">
        <v>88</v>
      </c>
      <c r="J16" s="89" t="s">
        <v>260</v>
      </c>
      <c r="K16" s="16" t="s">
        <v>232</v>
      </c>
      <c r="L16" s="16">
        <v>15</v>
      </c>
      <c r="M16" s="16"/>
      <c r="N16" s="16"/>
      <c r="O16" s="16"/>
      <c r="P16" s="16">
        <f t="shared" si="5"/>
        <v>90</v>
      </c>
    </row>
    <row r="17" spans="1:17" s="5" customFormat="1" x14ac:dyDescent="0.25">
      <c r="B17" s="90" t="s">
        <v>261</v>
      </c>
      <c r="C17" s="3" t="s">
        <v>242</v>
      </c>
      <c r="D17" s="3" t="s">
        <v>47</v>
      </c>
      <c r="E17" s="3" t="s">
        <v>167</v>
      </c>
      <c r="F17" s="3">
        <v>79511</v>
      </c>
      <c r="G17" s="3">
        <v>79517</v>
      </c>
      <c r="H17" s="3">
        <f t="shared" si="4"/>
        <v>6</v>
      </c>
      <c r="I17" s="3" t="s">
        <v>262</v>
      </c>
      <c r="J17" s="3" t="s">
        <v>263</v>
      </c>
      <c r="K17" s="3" t="s">
        <v>90</v>
      </c>
      <c r="L17" s="3">
        <v>15</v>
      </c>
      <c r="M17" s="3"/>
      <c r="N17" s="3"/>
      <c r="O17" s="3"/>
      <c r="P17" s="16">
        <f t="shared" si="5"/>
        <v>90</v>
      </c>
    </row>
    <row r="18" spans="1:17" x14ac:dyDescent="0.25">
      <c r="B18" s="90" t="s">
        <v>277</v>
      </c>
      <c r="C18" s="3" t="s">
        <v>242</v>
      </c>
      <c r="D18" s="3" t="s">
        <v>47</v>
      </c>
      <c r="E18" s="16" t="s">
        <v>278</v>
      </c>
      <c r="F18" s="16">
        <v>79662</v>
      </c>
      <c r="G18" s="16">
        <v>79663</v>
      </c>
      <c r="H18" s="16">
        <f t="shared" si="4"/>
        <v>1</v>
      </c>
      <c r="I18" s="16" t="s">
        <v>279</v>
      </c>
      <c r="J18" s="16" t="s">
        <v>280</v>
      </c>
      <c r="K18" s="3" t="s">
        <v>90</v>
      </c>
      <c r="L18" s="3">
        <v>15</v>
      </c>
      <c r="M18" s="16"/>
      <c r="N18" s="16"/>
      <c r="O18" s="16"/>
      <c r="P18" s="16">
        <f t="shared" si="5"/>
        <v>15</v>
      </c>
    </row>
    <row r="19" spans="1:17" x14ac:dyDescent="0.25">
      <c r="B19" s="90" t="s">
        <v>281</v>
      </c>
      <c r="C19" s="3" t="s">
        <v>242</v>
      </c>
      <c r="D19" s="3" t="s">
        <v>47</v>
      </c>
      <c r="E19" s="3" t="s">
        <v>282</v>
      </c>
      <c r="F19" s="16">
        <v>79676</v>
      </c>
      <c r="G19" s="16">
        <v>79700</v>
      </c>
      <c r="H19" s="16">
        <v>24</v>
      </c>
      <c r="I19" s="16" t="s">
        <v>70</v>
      </c>
      <c r="J19" s="16" t="s">
        <v>283</v>
      </c>
      <c r="K19" s="3" t="s">
        <v>90</v>
      </c>
      <c r="L19" s="3">
        <v>15</v>
      </c>
      <c r="M19" s="16"/>
      <c r="N19" s="16"/>
      <c r="O19" s="16"/>
      <c r="P19" s="16">
        <f t="shared" si="5"/>
        <v>360</v>
      </c>
    </row>
    <row r="20" spans="1:17" x14ac:dyDescent="0.25">
      <c r="B20" s="90" t="s">
        <v>284</v>
      </c>
      <c r="C20" s="3" t="s">
        <v>242</v>
      </c>
      <c r="D20" s="3" t="s">
        <v>47</v>
      </c>
      <c r="E20" s="3" t="s">
        <v>167</v>
      </c>
      <c r="F20" s="16">
        <v>79700</v>
      </c>
      <c r="G20" s="16">
        <v>79706</v>
      </c>
      <c r="H20" s="16">
        <v>6</v>
      </c>
      <c r="I20" s="16" t="s">
        <v>285</v>
      </c>
      <c r="J20" s="16"/>
      <c r="K20" s="3" t="s">
        <v>90</v>
      </c>
      <c r="L20" s="3">
        <v>15</v>
      </c>
      <c r="M20" s="16"/>
      <c r="N20" s="16"/>
      <c r="O20" s="16"/>
      <c r="P20" s="16">
        <f t="shared" si="5"/>
        <v>90</v>
      </c>
    </row>
    <row r="21" spans="1:17" x14ac:dyDescent="0.25">
      <c r="B21" s="90" t="s">
        <v>287</v>
      </c>
      <c r="C21" s="3" t="s">
        <v>242</v>
      </c>
      <c r="D21" s="3" t="s">
        <v>47</v>
      </c>
      <c r="E21" s="3" t="s">
        <v>289</v>
      </c>
      <c r="F21" s="16">
        <v>79733</v>
      </c>
      <c r="G21" s="16">
        <v>79739</v>
      </c>
      <c r="H21" s="16">
        <v>6</v>
      </c>
      <c r="I21" s="16" t="s">
        <v>95</v>
      </c>
      <c r="J21" s="16" t="s">
        <v>291</v>
      </c>
      <c r="K21" s="3" t="s">
        <v>90</v>
      </c>
      <c r="L21" s="3">
        <v>15</v>
      </c>
      <c r="M21" s="16"/>
      <c r="N21" s="16"/>
      <c r="O21" s="16"/>
      <c r="P21" s="16">
        <f t="shared" si="5"/>
        <v>90</v>
      </c>
    </row>
    <row r="22" spans="1:17" x14ac:dyDescent="0.25">
      <c r="B22" s="90" t="s">
        <v>288</v>
      </c>
      <c r="C22" s="3" t="s">
        <v>242</v>
      </c>
      <c r="D22" s="3" t="s">
        <v>47</v>
      </c>
      <c r="E22" s="3" t="s">
        <v>290</v>
      </c>
      <c r="F22" s="16">
        <v>79755</v>
      </c>
      <c r="G22" s="16">
        <v>79771</v>
      </c>
      <c r="H22" s="16">
        <v>16</v>
      </c>
      <c r="I22" s="16" t="s">
        <v>88</v>
      </c>
      <c r="J22" s="16" t="s">
        <v>292</v>
      </c>
      <c r="K22" s="3" t="s">
        <v>90</v>
      </c>
      <c r="L22" s="3">
        <v>15</v>
      </c>
      <c r="M22" s="16"/>
      <c r="N22" s="16"/>
      <c r="O22" s="16"/>
      <c r="P22" s="16">
        <f t="shared" si="5"/>
        <v>240</v>
      </c>
    </row>
    <row r="23" spans="1:17" x14ac:dyDescent="0.25">
      <c r="B23" s="90" t="s">
        <v>301</v>
      </c>
      <c r="C23" s="3" t="s">
        <v>302</v>
      </c>
      <c r="D23" s="3" t="s">
        <v>47</v>
      </c>
      <c r="E23" s="16" t="s">
        <v>303</v>
      </c>
      <c r="F23" s="16">
        <v>80027</v>
      </c>
      <c r="G23" s="3">
        <v>80035</v>
      </c>
      <c r="H23" s="16">
        <f t="shared" ref="H23:H26" si="6">SUM(G23-F23)</f>
        <v>8</v>
      </c>
      <c r="I23" s="16" t="s">
        <v>304</v>
      </c>
      <c r="J23" s="16" t="s">
        <v>276</v>
      </c>
      <c r="K23" s="3" t="s">
        <v>90</v>
      </c>
      <c r="L23" s="3">
        <v>15</v>
      </c>
      <c r="M23" s="16"/>
      <c r="N23" s="16"/>
      <c r="O23" s="16"/>
      <c r="P23" s="16">
        <f t="shared" si="5"/>
        <v>120</v>
      </c>
    </row>
    <row r="24" spans="1:17" x14ac:dyDescent="0.25">
      <c r="B24" s="90" t="s">
        <v>305</v>
      </c>
      <c r="C24" s="3" t="s">
        <v>302</v>
      </c>
      <c r="D24" s="3" t="s">
        <v>47</v>
      </c>
      <c r="E24" s="16" t="s">
        <v>306</v>
      </c>
      <c r="F24" s="16">
        <v>80105</v>
      </c>
      <c r="G24" s="16">
        <v>80141</v>
      </c>
      <c r="H24" s="16">
        <f t="shared" si="6"/>
        <v>36</v>
      </c>
      <c r="I24" s="16" t="s">
        <v>279</v>
      </c>
      <c r="J24" s="16" t="s">
        <v>307</v>
      </c>
      <c r="K24" s="3" t="s">
        <v>90</v>
      </c>
      <c r="L24" s="3">
        <v>15</v>
      </c>
      <c r="M24" s="16"/>
      <c r="N24" s="16"/>
      <c r="O24" s="16"/>
      <c r="P24" s="16">
        <f t="shared" si="5"/>
        <v>540</v>
      </c>
    </row>
    <row r="25" spans="1:17" x14ac:dyDescent="0.25">
      <c r="B25" s="90" t="s">
        <v>309</v>
      </c>
      <c r="C25" s="3" t="s">
        <v>302</v>
      </c>
      <c r="D25" s="3" t="s">
        <v>47</v>
      </c>
      <c r="E25" s="16" t="s">
        <v>308</v>
      </c>
      <c r="F25" s="16">
        <v>80145</v>
      </c>
      <c r="G25" s="16">
        <v>80158</v>
      </c>
      <c r="H25" s="16">
        <f t="shared" si="6"/>
        <v>13</v>
      </c>
      <c r="I25" s="16" t="s">
        <v>170</v>
      </c>
      <c r="J25" s="16" t="s">
        <v>310</v>
      </c>
      <c r="K25" s="3" t="s">
        <v>90</v>
      </c>
      <c r="L25" s="3">
        <v>15</v>
      </c>
      <c r="M25" s="16"/>
      <c r="N25" s="16"/>
      <c r="O25" s="16"/>
      <c r="P25" s="16">
        <f t="shared" si="5"/>
        <v>195</v>
      </c>
    </row>
    <row r="26" spans="1:17" x14ac:dyDescent="0.25">
      <c r="B26" s="90" t="s">
        <v>311</v>
      </c>
      <c r="C26" s="3" t="s">
        <v>302</v>
      </c>
      <c r="D26" s="3" t="s">
        <v>47</v>
      </c>
      <c r="E26" s="3" t="s">
        <v>312</v>
      </c>
      <c r="F26" s="16">
        <v>80307</v>
      </c>
      <c r="G26" s="16">
        <v>80314</v>
      </c>
      <c r="H26" s="16">
        <f t="shared" si="6"/>
        <v>7</v>
      </c>
      <c r="I26" s="16" t="s">
        <v>313</v>
      </c>
      <c r="J26" s="16" t="s">
        <v>314</v>
      </c>
      <c r="K26" s="3" t="s">
        <v>90</v>
      </c>
      <c r="L26" s="3">
        <v>15</v>
      </c>
      <c r="M26" s="16"/>
      <c r="N26" s="16"/>
      <c r="O26" s="16"/>
      <c r="P26" s="16">
        <f t="shared" si="5"/>
        <v>105</v>
      </c>
    </row>
    <row r="27" spans="1:17" x14ac:dyDescent="0.25">
      <c r="B27" s="95" t="s">
        <v>381</v>
      </c>
      <c r="C27" s="62" t="s">
        <v>242</v>
      </c>
      <c r="D27" s="52" t="s">
        <v>47</v>
      </c>
      <c r="E27" s="62" t="s">
        <v>2</v>
      </c>
      <c r="F27" s="62">
        <v>80859</v>
      </c>
      <c r="G27" s="62">
        <v>80871</v>
      </c>
      <c r="H27" s="62">
        <f t="shared" ref="H27:H28" si="7">SUM(G27-F27)</f>
        <v>12</v>
      </c>
      <c r="I27" s="62" t="s">
        <v>155</v>
      </c>
      <c r="J27" s="62" t="s">
        <v>258</v>
      </c>
      <c r="K27" s="52" t="s">
        <v>90</v>
      </c>
      <c r="L27" s="52">
        <v>15</v>
      </c>
      <c r="M27" s="62"/>
      <c r="N27" s="62"/>
      <c r="O27" s="62"/>
      <c r="P27" s="62">
        <f t="shared" si="5"/>
        <v>180</v>
      </c>
    </row>
    <row r="28" spans="1:17" x14ac:dyDescent="0.25">
      <c r="B28" s="90" t="s">
        <v>348</v>
      </c>
      <c r="C28" s="16" t="s">
        <v>242</v>
      </c>
      <c r="D28" s="3" t="s">
        <v>47</v>
      </c>
      <c r="E28" s="16" t="s">
        <v>320</v>
      </c>
      <c r="F28" s="16">
        <v>80871</v>
      </c>
      <c r="G28" s="16">
        <v>80876</v>
      </c>
      <c r="H28" s="16">
        <f t="shared" si="7"/>
        <v>5</v>
      </c>
      <c r="I28" s="16" t="s">
        <v>321</v>
      </c>
      <c r="J28" s="16" t="s">
        <v>322</v>
      </c>
      <c r="K28" s="3" t="s">
        <v>90</v>
      </c>
      <c r="L28" s="3">
        <v>15</v>
      </c>
      <c r="M28" s="16"/>
      <c r="N28" s="16"/>
      <c r="O28" s="16"/>
      <c r="P28" s="16">
        <f t="shared" si="5"/>
        <v>75</v>
      </c>
      <c r="Q28" s="16"/>
    </row>
    <row r="29" spans="1:17" x14ac:dyDescent="0.25">
      <c r="B29" s="90" t="s">
        <v>369</v>
      </c>
      <c r="C29" s="16" t="s">
        <v>242</v>
      </c>
      <c r="D29" s="3" t="s">
        <v>47</v>
      </c>
      <c r="E29" s="3" t="s">
        <v>167</v>
      </c>
      <c r="F29" s="16">
        <v>82339</v>
      </c>
      <c r="G29" s="16">
        <v>82345</v>
      </c>
      <c r="H29" s="16">
        <f t="shared" ref="H29" si="8">G29-F29</f>
        <v>6</v>
      </c>
      <c r="I29" s="16" t="s">
        <v>370</v>
      </c>
      <c r="J29" s="16" t="s">
        <v>371</v>
      </c>
      <c r="K29" s="3" t="s">
        <v>90</v>
      </c>
      <c r="L29" s="3">
        <v>15</v>
      </c>
      <c r="M29" s="16"/>
      <c r="N29" s="16"/>
      <c r="O29" s="16"/>
      <c r="P29" s="16">
        <f t="shared" si="5"/>
        <v>90</v>
      </c>
      <c r="Q29" s="16"/>
    </row>
    <row r="30" spans="1:17" s="92" customFormat="1" x14ac:dyDescent="0.25">
      <c r="A30" s="28"/>
      <c r="B30" s="25"/>
      <c r="C30" s="25"/>
      <c r="D30" s="25"/>
      <c r="E30" s="25"/>
      <c r="F30" s="25"/>
      <c r="G30" s="25"/>
      <c r="H30" s="25">
        <f>SUM(H14:H29)</f>
        <v>164</v>
      </c>
      <c r="I30" s="25"/>
      <c r="J30" s="25"/>
      <c r="K30" s="25"/>
      <c r="L30" s="25"/>
      <c r="M30" s="25"/>
      <c r="N30" s="25"/>
      <c r="O30" s="25"/>
      <c r="P30" s="25">
        <f>SUM(P14:P29)</f>
        <v>2460</v>
      </c>
      <c r="Q30" s="25" t="s">
        <v>397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"/>
  <sheetViews>
    <sheetView workbookViewId="0">
      <selection activeCell="D16" sqref="D16"/>
    </sheetView>
  </sheetViews>
  <sheetFormatPr defaultRowHeight="15" x14ac:dyDescent="0.25"/>
  <cols>
    <col min="1" max="1" width="10.140625" bestFit="1" customWidth="1"/>
    <col min="2" max="2" width="16" bestFit="1" customWidth="1"/>
    <col min="3" max="3" width="19" bestFit="1" customWidth="1"/>
    <col min="4" max="4" width="21" bestFit="1" customWidth="1"/>
    <col min="5" max="5" width="13.28515625" bestFit="1" customWidth="1"/>
    <col min="6" max="6" width="10.28515625" bestFit="1" customWidth="1"/>
    <col min="10" max="10" width="12.140625" bestFit="1" customWidth="1"/>
    <col min="12" max="12" width="16.42578125" bestFit="1" customWidth="1"/>
    <col min="13" max="13" width="16" customWidth="1"/>
  </cols>
  <sheetData>
    <row r="2" spans="1:13" x14ac:dyDescent="0.25">
      <c r="A2" s="43" t="s">
        <v>105</v>
      </c>
      <c r="B2" s="43" t="s">
        <v>99</v>
      </c>
      <c r="C2" s="43" t="s">
        <v>268</v>
      </c>
      <c r="D2" s="43" t="s">
        <v>102</v>
      </c>
      <c r="E2" s="43" t="s">
        <v>269</v>
      </c>
      <c r="F2" s="43" t="s">
        <v>270</v>
      </c>
      <c r="G2" s="44" t="s">
        <v>100</v>
      </c>
      <c r="H2" s="43" t="s">
        <v>271</v>
      </c>
      <c r="I2" s="43" t="s">
        <v>272</v>
      </c>
      <c r="J2" s="43" t="s">
        <v>273</v>
      </c>
      <c r="K2" s="43" t="s">
        <v>101</v>
      </c>
      <c r="L2" s="43" t="s">
        <v>98</v>
      </c>
      <c r="M2" s="43" t="s">
        <v>104</v>
      </c>
    </row>
    <row r="3" spans="1:13" s="92" customFormat="1" x14ac:dyDescent="0.25">
      <c r="A3" s="91" t="s">
        <v>193</v>
      </c>
      <c r="B3" s="8" t="s">
        <v>264</v>
      </c>
      <c r="C3" s="8" t="s">
        <v>275</v>
      </c>
      <c r="D3" s="8" t="s">
        <v>274</v>
      </c>
      <c r="E3" s="8">
        <v>78011</v>
      </c>
      <c r="F3" s="8">
        <v>78023</v>
      </c>
      <c r="G3" s="8">
        <f>F3-E3</f>
        <v>12</v>
      </c>
      <c r="H3" s="8" t="s">
        <v>265</v>
      </c>
      <c r="I3" s="8" t="s">
        <v>266</v>
      </c>
      <c r="J3" s="8" t="s">
        <v>267</v>
      </c>
      <c r="K3" s="8">
        <v>18</v>
      </c>
      <c r="L3" s="8">
        <f>K3*G3</f>
        <v>216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A16" sqref="A16"/>
    </sheetView>
  </sheetViews>
  <sheetFormatPr defaultRowHeight="15" x14ac:dyDescent="0.25"/>
  <cols>
    <col min="1" max="1" width="4.140625" customWidth="1"/>
    <col min="2" max="2" width="10.140625" customWidth="1"/>
    <col min="3" max="3" width="16.28515625" customWidth="1"/>
    <col min="4" max="4" width="15.42578125" bestFit="1" customWidth="1"/>
    <col min="10" max="10" width="10.7109375" bestFit="1" customWidth="1"/>
    <col min="12" max="12" width="14.28515625" bestFit="1" customWidth="1"/>
  </cols>
  <sheetData>
    <row r="1" spans="1:13" s="45" customFormat="1" x14ac:dyDescent="0.25">
      <c r="A1" s="43"/>
      <c r="B1" s="43" t="s">
        <v>105</v>
      </c>
      <c r="C1" s="43" t="s">
        <v>99</v>
      </c>
      <c r="D1" s="43"/>
      <c r="E1" s="43" t="s">
        <v>102</v>
      </c>
      <c r="F1" s="43"/>
      <c r="G1" s="43"/>
      <c r="H1" s="44" t="s">
        <v>100</v>
      </c>
      <c r="I1" s="43"/>
      <c r="J1" s="43"/>
      <c r="K1" s="43" t="s">
        <v>101</v>
      </c>
      <c r="L1" s="43" t="s">
        <v>171</v>
      </c>
      <c r="M1" s="45" t="s">
        <v>104</v>
      </c>
    </row>
    <row r="2" spans="1:13" ht="15.75" x14ac:dyDescent="0.25">
      <c r="A2" s="16"/>
      <c r="B2" s="3" t="s">
        <v>29</v>
      </c>
      <c r="C2" s="3" t="s">
        <v>30</v>
      </c>
      <c r="D2" s="3"/>
      <c r="E2" s="3">
        <v>75134</v>
      </c>
      <c r="F2" s="3">
        <v>75158</v>
      </c>
      <c r="G2" s="1">
        <f t="shared" ref="G2:G3" si="0">F2-E2</f>
        <v>24</v>
      </c>
      <c r="H2" s="3" t="s">
        <v>31</v>
      </c>
      <c r="I2" s="3" t="s">
        <v>32</v>
      </c>
      <c r="J2" s="3" t="s">
        <v>33</v>
      </c>
      <c r="K2" s="6">
        <v>18</v>
      </c>
      <c r="L2" s="3">
        <f>G2*K2</f>
        <v>432</v>
      </c>
    </row>
    <row r="3" spans="1:13" ht="15.75" x14ac:dyDescent="0.25">
      <c r="B3" s="3" t="s">
        <v>168</v>
      </c>
      <c r="C3" s="3" t="s">
        <v>30</v>
      </c>
      <c r="D3" t="s">
        <v>172</v>
      </c>
      <c r="E3" s="3">
        <v>77952</v>
      </c>
      <c r="F3" s="3">
        <v>77979</v>
      </c>
      <c r="G3" s="1">
        <f t="shared" si="0"/>
        <v>27</v>
      </c>
      <c r="H3" s="3" t="s">
        <v>169</v>
      </c>
      <c r="I3" s="3" t="s">
        <v>170</v>
      </c>
      <c r="J3" s="3" t="s">
        <v>33</v>
      </c>
      <c r="K3" s="22">
        <v>18</v>
      </c>
      <c r="L3" s="3">
        <f>G3*K3</f>
        <v>486</v>
      </c>
    </row>
    <row r="4" spans="1:13" x14ac:dyDescent="0.25">
      <c r="B4" s="90" t="s">
        <v>353</v>
      </c>
      <c r="C4" s="3" t="s">
        <v>30</v>
      </c>
      <c r="D4" s="16" t="s">
        <v>354</v>
      </c>
      <c r="E4" s="16">
        <v>82181</v>
      </c>
      <c r="F4" s="16">
        <v>82201</v>
      </c>
      <c r="G4" s="16">
        <f t="shared" ref="G4" si="1">SUM(F4-E4)</f>
        <v>20</v>
      </c>
      <c r="H4" s="16" t="s">
        <v>345</v>
      </c>
      <c r="I4" s="16" t="s">
        <v>355</v>
      </c>
      <c r="J4" s="16" t="s">
        <v>356</v>
      </c>
      <c r="K4" s="22">
        <v>18</v>
      </c>
      <c r="L4" s="3">
        <v>360</v>
      </c>
    </row>
    <row r="5" spans="1:13" ht="15.75" x14ac:dyDescent="0.25">
      <c r="B5" s="5"/>
      <c r="C5" s="5"/>
      <c r="E5" s="5"/>
      <c r="F5" s="5"/>
      <c r="G5" s="94"/>
      <c r="H5" s="5"/>
      <c r="I5" s="5"/>
      <c r="J5" s="5"/>
      <c r="K5" s="50"/>
      <c r="L5" s="5"/>
    </row>
    <row r="6" spans="1:13" x14ac:dyDescent="0.25">
      <c r="M6" s="76" t="s">
        <v>205</v>
      </c>
    </row>
    <row r="7" spans="1:13" x14ac:dyDescent="0.25">
      <c r="B7" s="93">
        <v>45886</v>
      </c>
      <c r="C7" s="3" t="s">
        <v>30</v>
      </c>
      <c r="D7" s="16" t="s">
        <v>295</v>
      </c>
    </row>
    <row r="8" spans="1:13" x14ac:dyDescent="0.25">
      <c r="B8" s="90"/>
    </row>
  </sheetData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selection activeCell="D18" sqref="D18"/>
    </sheetView>
  </sheetViews>
  <sheetFormatPr defaultRowHeight="15" x14ac:dyDescent="0.25"/>
  <cols>
    <col min="1" max="1" width="5.5703125" customWidth="1"/>
    <col min="2" max="2" width="10.42578125" bestFit="1" customWidth="1"/>
    <col min="3" max="4" width="27" bestFit="1" customWidth="1"/>
    <col min="5" max="5" width="11.5703125" bestFit="1" customWidth="1"/>
    <col min="11" max="11" width="17" bestFit="1" customWidth="1"/>
    <col min="16" max="16" width="16.42578125" bestFit="1" customWidth="1"/>
    <col min="17" max="17" width="14.85546875" customWidth="1"/>
  </cols>
  <sheetData>
    <row r="1" spans="1:18" s="45" customFormat="1" x14ac:dyDescent="0.25">
      <c r="A1" s="43"/>
      <c r="B1" s="43" t="s">
        <v>105</v>
      </c>
      <c r="C1" s="43" t="s">
        <v>99</v>
      </c>
      <c r="D1" s="43"/>
      <c r="E1" s="43" t="s">
        <v>102</v>
      </c>
      <c r="F1" s="43"/>
      <c r="G1" s="43"/>
      <c r="H1" s="44" t="s">
        <v>100</v>
      </c>
      <c r="I1" s="43"/>
      <c r="J1" s="43"/>
      <c r="K1" s="43"/>
      <c r="L1" s="43" t="s">
        <v>101</v>
      </c>
      <c r="M1" s="43"/>
      <c r="N1" s="43"/>
      <c r="O1" s="43" t="s">
        <v>162</v>
      </c>
      <c r="P1" s="43" t="s">
        <v>98</v>
      </c>
      <c r="Q1" s="43" t="s">
        <v>104</v>
      </c>
    </row>
    <row r="2" spans="1:18" ht="15.75" x14ac:dyDescent="0.25">
      <c r="A2" s="3">
        <v>1</v>
      </c>
      <c r="B2" s="3" t="s">
        <v>22</v>
      </c>
      <c r="C2" s="3" t="s">
        <v>161</v>
      </c>
      <c r="D2" s="3" t="s">
        <v>23</v>
      </c>
      <c r="E2" s="3" t="s">
        <v>2</v>
      </c>
      <c r="F2" s="3">
        <v>75057</v>
      </c>
      <c r="G2" s="3">
        <v>75071</v>
      </c>
      <c r="H2" s="1">
        <f t="shared" ref="H2:H3" si="0">G2-F2</f>
        <v>14</v>
      </c>
      <c r="I2" s="3" t="s">
        <v>24</v>
      </c>
      <c r="J2" s="3" t="s">
        <v>25</v>
      </c>
      <c r="K2" s="3" t="s">
        <v>26</v>
      </c>
      <c r="L2" s="6">
        <v>18</v>
      </c>
      <c r="M2" s="3"/>
      <c r="N2" s="3"/>
      <c r="O2" s="49">
        <f>H2*L2</f>
        <v>252</v>
      </c>
      <c r="P2" s="16"/>
      <c r="Q2" s="3"/>
    </row>
    <row r="3" spans="1:18" ht="15.75" x14ac:dyDescent="0.25">
      <c r="A3" s="3">
        <v>2</v>
      </c>
      <c r="B3" s="3" t="s">
        <v>22</v>
      </c>
      <c r="C3" s="3" t="s">
        <v>161</v>
      </c>
      <c r="D3" s="3" t="s">
        <v>23</v>
      </c>
      <c r="E3" s="3" t="s">
        <v>2</v>
      </c>
      <c r="F3" s="3">
        <v>75071</v>
      </c>
      <c r="G3" s="3">
        <v>75084</v>
      </c>
      <c r="H3" s="1">
        <f t="shared" si="0"/>
        <v>13</v>
      </c>
      <c r="I3" s="3" t="s">
        <v>27</v>
      </c>
      <c r="J3" s="3" t="s">
        <v>28</v>
      </c>
      <c r="K3" s="3" t="s">
        <v>21</v>
      </c>
      <c r="L3" s="6">
        <v>18</v>
      </c>
      <c r="M3" s="3"/>
      <c r="N3" s="3"/>
      <c r="O3" s="49">
        <f>H3*L3</f>
        <v>234</v>
      </c>
      <c r="P3" s="16"/>
      <c r="Q3" s="3"/>
    </row>
    <row r="4" spans="1:18" x14ac:dyDescent="0.25">
      <c r="A4" s="55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74">
        <f>SUM(O2:O3)</f>
        <v>486</v>
      </c>
      <c r="P4" s="33">
        <v>500</v>
      </c>
      <c r="Q4" s="13" t="s">
        <v>163</v>
      </c>
    </row>
    <row r="5" spans="1:18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8" x14ac:dyDescent="0.25">
      <c r="A6" s="16">
        <v>1</v>
      </c>
      <c r="B6" s="16" t="s">
        <v>193</v>
      </c>
      <c r="C6" s="16" t="s">
        <v>161</v>
      </c>
      <c r="D6" s="16" t="s">
        <v>161</v>
      </c>
      <c r="E6" s="16" t="s">
        <v>2</v>
      </c>
      <c r="F6" s="16">
        <v>78025</v>
      </c>
      <c r="G6" s="16">
        <v>78090</v>
      </c>
      <c r="H6" s="16">
        <f>G6-F6</f>
        <v>65</v>
      </c>
      <c r="I6" s="16" t="s">
        <v>196</v>
      </c>
      <c r="J6" s="16" t="s">
        <v>197</v>
      </c>
      <c r="K6" s="16" t="s">
        <v>201</v>
      </c>
      <c r="L6" s="16">
        <v>18</v>
      </c>
      <c r="M6" s="16"/>
      <c r="N6" s="16"/>
      <c r="O6" s="16">
        <f>H6*L6</f>
        <v>1170</v>
      </c>
      <c r="P6" s="16"/>
      <c r="Q6" s="16"/>
    </row>
    <row r="7" spans="1:18" x14ac:dyDescent="0.25">
      <c r="A7" s="16">
        <v>2</v>
      </c>
      <c r="B7" s="16" t="s">
        <v>194</v>
      </c>
      <c r="C7" s="16" t="s">
        <v>161</v>
      </c>
      <c r="D7" s="16" t="s">
        <v>161</v>
      </c>
      <c r="E7" s="16" t="s">
        <v>195</v>
      </c>
      <c r="F7" s="16">
        <v>78097</v>
      </c>
      <c r="G7" s="16">
        <v>78446</v>
      </c>
      <c r="H7" s="16">
        <f t="shared" ref="H7:H8" si="1">G7-F7</f>
        <v>349</v>
      </c>
      <c r="I7" s="16" t="s">
        <v>198</v>
      </c>
      <c r="J7" s="16" t="s">
        <v>139</v>
      </c>
      <c r="K7" s="16" t="s">
        <v>202</v>
      </c>
      <c r="L7" s="16">
        <v>18</v>
      </c>
      <c r="M7" s="16"/>
      <c r="N7" s="16"/>
      <c r="O7" s="16">
        <f t="shared" ref="O7:O8" si="2">H7*L7</f>
        <v>6282</v>
      </c>
      <c r="P7" s="16"/>
      <c r="Q7" s="16"/>
    </row>
    <row r="8" spans="1:18" x14ac:dyDescent="0.25">
      <c r="A8" s="16">
        <v>3</v>
      </c>
      <c r="B8" s="16" t="s">
        <v>194</v>
      </c>
      <c r="C8" s="16" t="s">
        <v>161</v>
      </c>
      <c r="D8" s="16" t="s">
        <v>161</v>
      </c>
      <c r="E8" s="16" t="s">
        <v>48</v>
      </c>
      <c r="F8" s="16">
        <v>78446</v>
      </c>
      <c r="G8" s="16">
        <v>78452</v>
      </c>
      <c r="H8" s="16">
        <f t="shared" si="1"/>
        <v>6</v>
      </c>
      <c r="I8" s="16" t="s">
        <v>199</v>
      </c>
      <c r="J8" s="16" t="s">
        <v>200</v>
      </c>
      <c r="K8" s="16" t="s">
        <v>90</v>
      </c>
      <c r="L8" s="16">
        <v>18</v>
      </c>
      <c r="M8" s="16"/>
      <c r="N8" s="16"/>
      <c r="O8" s="16">
        <f t="shared" si="2"/>
        <v>108</v>
      </c>
      <c r="P8" s="16"/>
      <c r="Q8" s="16"/>
    </row>
    <row r="9" spans="1:18" x14ac:dyDescent="0.25">
      <c r="A9" s="16">
        <v>4</v>
      </c>
      <c r="B9" s="16" t="s">
        <v>206</v>
      </c>
      <c r="C9" s="3" t="s">
        <v>207</v>
      </c>
      <c r="D9" s="3" t="s">
        <v>161</v>
      </c>
      <c r="E9" s="3" t="s">
        <v>208</v>
      </c>
      <c r="F9" s="3">
        <v>78769</v>
      </c>
      <c r="G9" s="3">
        <v>78806</v>
      </c>
      <c r="H9" s="16">
        <v>37</v>
      </c>
      <c r="I9" s="3" t="s">
        <v>209</v>
      </c>
      <c r="J9" s="3" t="s">
        <v>210</v>
      </c>
      <c r="K9" s="16" t="s">
        <v>202</v>
      </c>
      <c r="L9" s="16">
        <v>18</v>
      </c>
      <c r="M9" s="16"/>
      <c r="N9" s="16"/>
      <c r="O9" s="16">
        <v>666</v>
      </c>
      <c r="P9" s="16"/>
      <c r="Q9" s="16"/>
    </row>
    <row r="10" spans="1:18" s="83" customFormat="1" x14ac:dyDescent="0.25">
      <c r="A10" s="25"/>
      <c r="B10" s="25"/>
      <c r="C10" s="25"/>
      <c r="D10" s="25"/>
      <c r="E10" s="25"/>
      <c r="F10" s="25"/>
      <c r="G10" s="25"/>
      <c r="H10" s="25">
        <v>457</v>
      </c>
      <c r="I10" s="25"/>
      <c r="J10" s="25"/>
      <c r="K10" s="25"/>
      <c r="L10" s="25"/>
      <c r="M10" s="25"/>
      <c r="N10" s="25"/>
      <c r="O10" s="33">
        <f>SUM(O6:O9)</f>
        <v>8226</v>
      </c>
      <c r="P10" s="25"/>
      <c r="Q10" s="13" t="s">
        <v>251</v>
      </c>
      <c r="R10" s="84"/>
    </row>
    <row r="12" spans="1:18" x14ac:dyDescent="0.25">
      <c r="B12" s="93">
        <v>46026</v>
      </c>
      <c r="C12" s="3" t="s">
        <v>207</v>
      </c>
      <c r="D12" s="3" t="s">
        <v>161</v>
      </c>
      <c r="E12" s="16" t="s">
        <v>2</v>
      </c>
      <c r="F12" s="16">
        <v>81703</v>
      </c>
      <c r="G12" s="16">
        <v>81715</v>
      </c>
      <c r="H12" s="16">
        <f t="shared" ref="H12" si="3">SUM(G12-F12)</f>
        <v>12</v>
      </c>
      <c r="I12" s="16" t="s">
        <v>346</v>
      </c>
      <c r="J12" s="16" t="s">
        <v>347</v>
      </c>
      <c r="K12" s="3" t="s">
        <v>90</v>
      </c>
      <c r="L12" s="16">
        <v>18</v>
      </c>
      <c r="M12" s="16"/>
      <c r="N12" s="16"/>
      <c r="O12" s="16">
        <v>216</v>
      </c>
      <c r="P12" s="16"/>
      <c r="Q12" s="16"/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selection activeCell="I14" sqref="I14"/>
    </sheetView>
  </sheetViews>
  <sheetFormatPr defaultRowHeight="15" x14ac:dyDescent="0.25"/>
  <cols>
    <col min="1" max="1" width="4.140625" customWidth="1"/>
    <col min="2" max="2" width="11" customWidth="1"/>
    <col min="3" max="3" width="14" customWidth="1"/>
    <col min="4" max="4" width="15.140625" bestFit="1" customWidth="1"/>
    <col min="5" max="5" width="13.5703125" customWidth="1"/>
    <col min="11" max="11" width="17" bestFit="1" customWidth="1"/>
    <col min="17" max="17" width="16.140625" customWidth="1"/>
  </cols>
  <sheetData>
    <row r="1" spans="1:17" s="45" customFormat="1" x14ac:dyDescent="0.25">
      <c r="A1" s="43"/>
      <c r="B1" s="43" t="s">
        <v>105</v>
      </c>
      <c r="C1" s="43" t="s">
        <v>99</v>
      </c>
      <c r="D1" s="43"/>
      <c r="E1" s="43" t="s">
        <v>102</v>
      </c>
      <c r="F1" s="43"/>
      <c r="G1" s="43"/>
      <c r="H1" s="44" t="s">
        <v>100</v>
      </c>
      <c r="I1" s="43"/>
      <c r="J1" s="43"/>
      <c r="K1" s="43"/>
      <c r="L1" s="43" t="s">
        <v>101</v>
      </c>
      <c r="M1" s="43"/>
      <c r="N1" s="43"/>
      <c r="O1" s="43"/>
      <c r="P1" s="43" t="s">
        <v>98</v>
      </c>
      <c r="Q1" s="43" t="s">
        <v>104</v>
      </c>
    </row>
    <row r="2" spans="1:17" ht="15.75" x14ac:dyDescent="0.25">
      <c r="A2" s="3"/>
      <c r="B2" s="3" t="s">
        <v>17</v>
      </c>
      <c r="C2" s="3" t="s">
        <v>382</v>
      </c>
      <c r="D2" s="3" t="s">
        <v>328</v>
      </c>
      <c r="E2" s="3" t="s">
        <v>2</v>
      </c>
      <c r="F2" s="3">
        <v>75043</v>
      </c>
      <c r="G2" s="3">
        <v>75056</v>
      </c>
      <c r="H2" s="20">
        <f t="shared" ref="H2" si="0">G2-F2</f>
        <v>13</v>
      </c>
      <c r="I2" s="3" t="s">
        <v>19</v>
      </c>
      <c r="J2" s="3" t="s">
        <v>20</v>
      </c>
      <c r="K2" s="3" t="s">
        <v>21</v>
      </c>
      <c r="L2" s="6">
        <v>18</v>
      </c>
      <c r="M2" s="3"/>
      <c r="N2" s="3"/>
      <c r="O2" s="3"/>
      <c r="P2" s="49">
        <f t="shared" ref="P2:P4" si="1">H2*L2</f>
        <v>234</v>
      </c>
      <c r="Q2" s="3"/>
    </row>
    <row r="3" spans="1:17" ht="15.75" x14ac:dyDescent="0.25">
      <c r="A3" s="16"/>
      <c r="B3" s="90" t="s">
        <v>327</v>
      </c>
      <c r="C3" s="3" t="s">
        <v>382</v>
      </c>
      <c r="D3" s="3" t="s">
        <v>328</v>
      </c>
      <c r="E3" s="3" t="s">
        <v>2</v>
      </c>
      <c r="F3" s="16">
        <v>81624</v>
      </c>
      <c r="G3" s="16">
        <v>81643</v>
      </c>
      <c r="H3" s="16">
        <f t="shared" ref="H3:H4" si="2">SUM(G3-F3)</f>
        <v>19</v>
      </c>
      <c r="I3" s="16" t="s">
        <v>321</v>
      </c>
      <c r="J3" s="16" t="s">
        <v>331</v>
      </c>
      <c r="K3" s="3" t="s">
        <v>90</v>
      </c>
      <c r="L3" s="6">
        <v>18</v>
      </c>
      <c r="M3" s="16"/>
      <c r="N3" s="16"/>
      <c r="O3" s="16"/>
      <c r="P3" s="49">
        <f t="shared" si="1"/>
        <v>342</v>
      </c>
      <c r="Q3" s="16"/>
    </row>
    <row r="4" spans="1:17" ht="15.75" x14ac:dyDescent="0.25">
      <c r="A4" s="16"/>
      <c r="B4" s="90" t="s">
        <v>329</v>
      </c>
      <c r="C4" s="3" t="s">
        <v>382</v>
      </c>
      <c r="D4" s="3" t="s">
        <v>328</v>
      </c>
      <c r="E4" s="16" t="s">
        <v>330</v>
      </c>
      <c r="F4" s="16">
        <v>81649</v>
      </c>
      <c r="G4" s="16">
        <v>81663</v>
      </c>
      <c r="H4" s="16">
        <f t="shared" si="2"/>
        <v>14</v>
      </c>
      <c r="I4" s="16" t="s">
        <v>332</v>
      </c>
      <c r="J4" s="16" t="s">
        <v>333</v>
      </c>
      <c r="K4" s="16" t="s">
        <v>202</v>
      </c>
      <c r="L4" s="6">
        <v>18</v>
      </c>
      <c r="M4" s="16"/>
      <c r="N4" s="16"/>
      <c r="O4" s="16"/>
      <c r="P4" s="49">
        <f t="shared" si="1"/>
        <v>252</v>
      </c>
      <c r="Q4" s="16"/>
    </row>
    <row r="5" spans="1:17" x14ac:dyDescent="0.25">
      <c r="A5" s="13"/>
      <c r="B5" s="13"/>
      <c r="C5" s="13"/>
      <c r="D5" s="13"/>
      <c r="E5" s="13"/>
      <c r="F5" s="13"/>
      <c r="G5" s="13"/>
      <c r="H5" s="13">
        <f>SUM(H2:H4)</f>
        <v>46</v>
      </c>
      <c r="I5" s="13"/>
      <c r="J5" s="13"/>
      <c r="K5" s="13"/>
      <c r="L5" s="13"/>
      <c r="M5" s="13"/>
      <c r="N5" s="13"/>
      <c r="O5" s="13"/>
      <c r="P5" s="110">
        <f>SUM(P2:P4)</f>
        <v>828</v>
      </c>
      <c r="Q5" s="13" t="s">
        <v>398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selection activeCell="J18" sqref="J18"/>
    </sheetView>
  </sheetViews>
  <sheetFormatPr defaultRowHeight="15" x14ac:dyDescent="0.25"/>
  <cols>
    <col min="1" max="1" width="10.140625" bestFit="1" customWidth="1"/>
    <col min="2" max="2" width="13.140625" bestFit="1" customWidth="1"/>
    <col min="4" max="4" width="11.5703125" bestFit="1" customWidth="1"/>
    <col min="10" max="10" width="17.7109375" bestFit="1" customWidth="1"/>
  </cols>
  <sheetData>
    <row r="1" spans="1:16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x14ac:dyDescent="0.25">
      <c r="A2" s="43" t="s">
        <v>105</v>
      </c>
      <c r="B2" s="43" t="s">
        <v>99</v>
      </c>
      <c r="C2" s="43"/>
      <c r="D2" s="43" t="s">
        <v>102</v>
      </c>
      <c r="E2" s="43"/>
      <c r="F2" s="43"/>
      <c r="G2" s="44" t="s">
        <v>100</v>
      </c>
      <c r="H2" s="43"/>
      <c r="I2" s="43"/>
      <c r="J2" s="43"/>
      <c r="K2" s="43" t="s">
        <v>101</v>
      </c>
      <c r="L2" s="43"/>
      <c r="M2" s="43"/>
      <c r="N2" s="43"/>
      <c r="O2" s="43" t="s">
        <v>98</v>
      </c>
      <c r="P2" s="43" t="s">
        <v>104</v>
      </c>
    </row>
    <row r="3" spans="1:16" x14ac:dyDescent="0.25">
      <c r="A3" s="90" t="s">
        <v>334</v>
      </c>
      <c r="B3" s="16" t="s">
        <v>335</v>
      </c>
      <c r="C3" s="16"/>
      <c r="D3" s="16" t="s">
        <v>2</v>
      </c>
      <c r="E3" s="16">
        <v>81583</v>
      </c>
      <c r="F3" s="16">
        <v>81595</v>
      </c>
      <c r="G3" s="16">
        <v>12</v>
      </c>
      <c r="H3" s="16" t="s">
        <v>14</v>
      </c>
      <c r="I3" s="16" t="s">
        <v>336</v>
      </c>
      <c r="J3" s="16" t="s">
        <v>337</v>
      </c>
      <c r="K3" s="16">
        <v>18</v>
      </c>
      <c r="L3" s="16"/>
      <c r="M3" s="16"/>
      <c r="N3" s="16"/>
      <c r="O3" s="16"/>
      <c r="P3" s="16">
        <v>216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M19" sqref="M19"/>
    </sheetView>
  </sheetViews>
  <sheetFormatPr defaultRowHeight="15" x14ac:dyDescent="0.25"/>
  <cols>
    <col min="1" max="1" width="4.42578125" customWidth="1"/>
    <col min="2" max="2" width="10.7109375" customWidth="1"/>
    <col min="3" max="3" width="21.42578125" customWidth="1"/>
    <col min="4" max="4" width="5.7109375" bestFit="1" customWidth="1"/>
    <col min="5" max="5" width="22.5703125" bestFit="1" customWidth="1"/>
    <col min="11" max="11" width="17" bestFit="1" customWidth="1"/>
    <col min="16" max="16" width="18.5703125" customWidth="1"/>
    <col min="17" max="17" width="17.7109375" customWidth="1"/>
  </cols>
  <sheetData>
    <row r="1" spans="1:17" s="45" customFormat="1" x14ac:dyDescent="0.25">
      <c r="A1" s="43"/>
      <c r="B1" s="43" t="s">
        <v>105</v>
      </c>
      <c r="C1" s="43" t="s">
        <v>99</v>
      </c>
      <c r="D1" s="43"/>
      <c r="E1" s="43" t="s">
        <v>102</v>
      </c>
      <c r="F1" s="43"/>
      <c r="G1" s="43"/>
      <c r="H1" s="44" t="s">
        <v>100</v>
      </c>
      <c r="I1" s="43"/>
      <c r="J1" s="43"/>
      <c r="K1" s="43"/>
      <c r="L1" s="43" t="s">
        <v>101</v>
      </c>
      <c r="M1" s="43"/>
      <c r="N1" s="43"/>
      <c r="O1" s="43"/>
      <c r="P1" s="43" t="s">
        <v>98</v>
      </c>
      <c r="Q1" s="43" t="s">
        <v>104</v>
      </c>
    </row>
    <row r="2" spans="1:17" ht="15.75" x14ac:dyDescent="0.25">
      <c r="A2" s="3"/>
      <c r="B2" s="16" t="s">
        <v>6</v>
      </c>
      <c r="C2" s="16" t="s">
        <v>7</v>
      </c>
      <c r="D2" s="16" t="s">
        <v>7</v>
      </c>
      <c r="E2" s="16" t="s">
        <v>2</v>
      </c>
      <c r="F2" s="16">
        <v>73441</v>
      </c>
      <c r="G2" s="16">
        <v>73464</v>
      </c>
      <c r="H2" s="85">
        <f t="shared" ref="H2:H4" si="0">G2-F2</f>
        <v>23</v>
      </c>
      <c r="I2" s="16" t="s">
        <v>8</v>
      </c>
      <c r="J2" s="16" t="s">
        <v>9</v>
      </c>
      <c r="K2" s="16" t="s">
        <v>10</v>
      </c>
      <c r="L2" s="22">
        <v>15</v>
      </c>
      <c r="M2" s="16"/>
      <c r="N2" s="16"/>
      <c r="O2" s="16"/>
      <c r="P2" s="49">
        <f t="shared" ref="P2:P4" si="1">H2*L2</f>
        <v>345</v>
      </c>
      <c r="Q2" s="3"/>
    </row>
    <row r="3" spans="1:17" ht="15.75" x14ac:dyDescent="0.25">
      <c r="B3" s="16" t="s">
        <v>223</v>
      </c>
      <c r="C3" s="16" t="s">
        <v>224</v>
      </c>
      <c r="D3" s="16" t="s">
        <v>7</v>
      </c>
      <c r="E3" s="16" t="s">
        <v>225</v>
      </c>
      <c r="F3" s="16">
        <v>79029</v>
      </c>
      <c r="G3" s="16">
        <v>79036</v>
      </c>
      <c r="H3" s="85">
        <f t="shared" si="0"/>
        <v>7</v>
      </c>
      <c r="I3" s="16" t="s">
        <v>226</v>
      </c>
      <c r="J3" s="16" t="s">
        <v>227</v>
      </c>
      <c r="K3" s="16" t="s">
        <v>90</v>
      </c>
      <c r="L3" s="50">
        <v>15</v>
      </c>
      <c r="P3" s="49">
        <f t="shared" si="1"/>
        <v>105</v>
      </c>
    </row>
    <row r="4" spans="1:17" ht="15.75" x14ac:dyDescent="0.25">
      <c r="B4" s="82" t="s">
        <v>245</v>
      </c>
      <c r="C4" s="16" t="s">
        <v>224</v>
      </c>
      <c r="D4" s="16" t="s">
        <v>7</v>
      </c>
      <c r="E4" s="16" t="s">
        <v>246</v>
      </c>
      <c r="F4" s="16">
        <v>79408</v>
      </c>
      <c r="G4" s="16">
        <v>79424</v>
      </c>
      <c r="H4" s="85">
        <f t="shared" si="0"/>
        <v>16</v>
      </c>
      <c r="I4" s="16" t="s">
        <v>247</v>
      </c>
      <c r="J4" s="16" t="s">
        <v>85</v>
      </c>
      <c r="K4" s="16" t="s">
        <v>90</v>
      </c>
      <c r="L4" s="50">
        <v>15</v>
      </c>
      <c r="P4" s="49">
        <f t="shared" si="1"/>
        <v>240</v>
      </c>
    </row>
    <row r="5" spans="1:17" s="28" customFormat="1" x14ac:dyDescent="0.25">
      <c r="L5" s="86"/>
      <c r="O5" s="28" t="s">
        <v>248</v>
      </c>
      <c r="P5" s="87">
        <f>SUM(P2:P4)</f>
        <v>690</v>
      </c>
      <c r="Q5" s="83" t="s">
        <v>252</v>
      </c>
    </row>
    <row r="6" spans="1:17" x14ac:dyDescent="0.25">
      <c r="L6" s="50"/>
    </row>
    <row r="7" spans="1:17" x14ac:dyDescent="0.25">
      <c r="B7" s="90" t="s">
        <v>277</v>
      </c>
      <c r="C7" s="16" t="s">
        <v>224</v>
      </c>
      <c r="D7" s="16" t="s">
        <v>7</v>
      </c>
      <c r="E7" s="16" t="s">
        <v>246</v>
      </c>
      <c r="F7" s="16">
        <v>79646</v>
      </c>
      <c r="G7" s="16">
        <v>79658</v>
      </c>
      <c r="H7" s="3">
        <f>SUM(G7-F7)</f>
        <v>12</v>
      </c>
      <c r="I7" s="16" t="s">
        <v>276</v>
      </c>
      <c r="J7" s="16" t="s">
        <v>169</v>
      </c>
      <c r="K7" s="16" t="s">
        <v>90</v>
      </c>
      <c r="L7" s="22">
        <v>15</v>
      </c>
      <c r="M7" s="16"/>
      <c r="N7" s="16"/>
      <c r="O7" s="16"/>
      <c r="P7" s="16">
        <f>H7*L7</f>
        <v>180</v>
      </c>
    </row>
    <row r="8" spans="1:17" x14ac:dyDescent="0.25">
      <c r="B8" s="90" t="s">
        <v>293</v>
      </c>
      <c r="C8" s="16" t="s">
        <v>296</v>
      </c>
      <c r="D8" s="16" t="s">
        <v>7</v>
      </c>
      <c r="E8" s="16" t="s">
        <v>246</v>
      </c>
      <c r="F8" s="16">
        <v>79825</v>
      </c>
      <c r="G8" s="16">
        <v>79837</v>
      </c>
      <c r="H8" s="3">
        <f>SUM(G8-F8)</f>
        <v>12</v>
      </c>
      <c r="I8" s="16" t="s">
        <v>88</v>
      </c>
      <c r="J8" s="16" t="s">
        <v>73</v>
      </c>
      <c r="K8" s="78" t="s">
        <v>90</v>
      </c>
      <c r="L8" s="22">
        <v>15</v>
      </c>
      <c r="M8" s="16"/>
      <c r="N8" s="16"/>
      <c r="O8" s="16"/>
      <c r="P8" s="16">
        <f t="shared" ref="P8:P13" si="2">H8*L8</f>
        <v>180</v>
      </c>
    </row>
    <row r="9" spans="1:17" x14ac:dyDescent="0.25">
      <c r="B9" s="90" t="s">
        <v>324</v>
      </c>
      <c r="C9" s="16" t="s">
        <v>296</v>
      </c>
      <c r="D9" s="16" t="s">
        <v>7</v>
      </c>
      <c r="E9" s="16" t="s">
        <v>246</v>
      </c>
      <c r="F9" s="16">
        <v>79936</v>
      </c>
      <c r="G9" s="16">
        <v>79947</v>
      </c>
      <c r="H9" s="16">
        <f t="shared" ref="H9" si="3">SUM(G9-F9)</f>
        <v>11</v>
      </c>
      <c r="I9" s="16" t="s">
        <v>299</v>
      </c>
      <c r="J9" s="16" t="s">
        <v>300</v>
      </c>
      <c r="K9" s="79" t="s">
        <v>90</v>
      </c>
      <c r="L9" s="22">
        <v>15</v>
      </c>
      <c r="M9" s="16"/>
      <c r="N9" s="16"/>
      <c r="O9" s="16"/>
      <c r="P9" s="16">
        <f t="shared" si="2"/>
        <v>165</v>
      </c>
    </row>
    <row r="10" spans="1:17" x14ac:dyDescent="0.25">
      <c r="B10" s="90" t="s">
        <v>348</v>
      </c>
      <c r="C10" s="16" t="s">
        <v>296</v>
      </c>
      <c r="D10" s="16" t="s">
        <v>7</v>
      </c>
      <c r="E10" s="16" t="s">
        <v>246</v>
      </c>
      <c r="F10" s="16">
        <v>80883</v>
      </c>
      <c r="G10" s="16">
        <v>80895</v>
      </c>
      <c r="H10" s="16">
        <f t="shared" ref="H10:H13" si="4">SUM(G10-F10)</f>
        <v>12</v>
      </c>
      <c r="I10" s="16" t="s">
        <v>323</v>
      </c>
      <c r="J10" s="16" t="s">
        <v>107</v>
      </c>
      <c r="K10" s="79" t="s">
        <v>90</v>
      </c>
      <c r="L10" s="22">
        <v>15</v>
      </c>
      <c r="M10" s="16"/>
      <c r="N10" s="16"/>
      <c r="O10" s="16"/>
      <c r="P10" s="16">
        <f t="shared" si="2"/>
        <v>180</v>
      </c>
    </row>
    <row r="11" spans="1:17" x14ac:dyDescent="0.25">
      <c r="B11" s="90" t="s">
        <v>350</v>
      </c>
      <c r="C11" s="16" t="s">
        <v>349</v>
      </c>
      <c r="D11" s="16" t="s">
        <v>7</v>
      </c>
      <c r="E11" s="16" t="s">
        <v>246</v>
      </c>
      <c r="F11" s="16">
        <v>81720</v>
      </c>
      <c r="G11" s="16">
        <v>81731</v>
      </c>
      <c r="H11" s="16">
        <f t="shared" si="4"/>
        <v>11</v>
      </c>
      <c r="I11" s="16" t="s">
        <v>140</v>
      </c>
      <c r="J11" s="16" t="s">
        <v>143</v>
      </c>
      <c r="K11" s="79" t="s">
        <v>90</v>
      </c>
      <c r="L11" s="22">
        <v>15</v>
      </c>
      <c r="M11" s="16"/>
      <c r="N11" s="16"/>
      <c r="O11" s="16"/>
      <c r="P11" s="16">
        <f t="shared" si="2"/>
        <v>165</v>
      </c>
    </row>
    <row r="12" spans="1:17" x14ac:dyDescent="0.25">
      <c r="B12" s="90" t="s">
        <v>357</v>
      </c>
      <c r="C12" s="16" t="s">
        <v>224</v>
      </c>
      <c r="D12" s="16" t="s">
        <v>7</v>
      </c>
      <c r="E12" s="16" t="s">
        <v>246</v>
      </c>
      <c r="F12" s="16">
        <v>82246</v>
      </c>
      <c r="G12" s="16">
        <v>82256</v>
      </c>
      <c r="H12" s="16">
        <f t="shared" si="4"/>
        <v>10</v>
      </c>
      <c r="I12" s="16" t="s">
        <v>358</v>
      </c>
      <c r="J12" s="16" t="s">
        <v>244</v>
      </c>
      <c r="K12" s="16" t="s">
        <v>236</v>
      </c>
      <c r="L12" s="22">
        <v>15</v>
      </c>
      <c r="M12" s="16"/>
      <c r="N12" s="16"/>
      <c r="O12" s="16"/>
      <c r="P12" s="16">
        <f t="shared" si="2"/>
        <v>150</v>
      </c>
    </row>
    <row r="13" spans="1:17" x14ac:dyDescent="0.25">
      <c r="B13" s="95" t="s">
        <v>374</v>
      </c>
      <c r="C13" s="62" t="s">
        <v>224</v>
      </c>
      <c r="D13" s="62" t="s">
        <v>7</v>
      </c>
      <c r="E13" s="62" t="s">
        <v>246</v>
      </c>
      <c r="F13" s="62">
        <v>82396</v>
      </c>
      <c r="G13" s="62">
        <v>82407</v>
      </c>
      <c r="H13" s="62">
        <f t="shared" si="4"/>
        <v>11</v>
      </c>
      <c r="I13" s="62" t="s">
        <v>375</v>
      </c>
      <c r="J13" s="62" t="s">
        <v>59</v>
      </c>
      <c r="K13" s="52" t="s">
        <v>86</v>
      </c>
      <c r="L13" s="111">
        <v>15</v>
      </c>
      <c r="M13" s="62"/>
      <c r="N13" s="62"/>
      <c r="O13" s="62"/>
      <c r="P13" s="62">
        <f t="shared" si="2"/>
        <v>165</v>
      </c>
    </row>
    <row r="14" spans="1:17" x14ac:dyDescent="0.25">
      <c r="A14" s="25"/>
      <c r="B14" s="25"/>
      <c r="C14" s="25"/>
      <c r="D14" s="25"/>
      <c r="E14" s="25"/>
      <c r="F14" s="25"/>
      <c r="G14" s="25"/>
      <c r="H14" s="25">
        <f>SUM(H7:H13)</f>
        <v>79</v>
      </c>
      <c r="I14" s="25"/>
      <c r="J14" s="25"/>
      <c r="K14" s="25"/>
      <c r="L14" s="25"/>
      <c r="M14" s="25"/>
      <c r="N14" s="25"/>
      <c r="O14" s="25"/>
      <c r="P14" s="25">
        <f>SUM(P7:P13)</f>
        <v>1185</v>
      </c>
      <c r="Q14" s="25" t="s">
        <v>399</v>
      </c>
    </row>
  </sheetData>
  <phoneticPr fontId="6" type="noConversion"/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K16" sqref="K16"/>
    </sheetView>
  </sheetViews>
  <sheetFormatPr defaultRowHeight="15" x14ac:dyDescent="0.25"/>
  <cols>
    <col min="1" max="1" width="5.42578125" customWidth="1"/>
    <col min="2" max="2" width="11.28515625" customWidth="1"/>
    <col min="3" max="3" width="16.5703125" customWidth="1"/>
    <col min="4" max="4" width="14.42578125" customWidth="1"/>
    <col min="15" max="15" width="7.28515625" customWidth="1"/>
    <col min="16" max="16" width="16.140625" customWidth="1"/>
    <col min="17" max="17" width="18" customWidth="1"/>
  </cols>
  <sheetData>
    <row r="1" spans="1:17" s="45" customFormat="1" x14ac:dyDescent="0.25">
      <c r="A1" s="43"/>
      <c r="B1" s="43" t="s">
        <v>105</v>
      </c>
      <c r="C1" s="43" t="s">
        <v>99</v>
      </c>
      <c r="D1" s="43"/>
      <c r="E1" s="43" t="s">
        <v>102</v>
      </c>
      <c r="F1" s="43"/>
      <c r="G1" s="43"/>
      <c r="H1" s="44" t="s">
        <v>100</v>
      </c>
      <c r="I1" s="43"/>
      <c r="J1" s="43"/>
      <c r="K1" s="43"/>
      <c r="L1" s="43" t="s">
        <v>101</v>
      </c>
      <c r="M1" s="43"/>
      <c r="N1" s="43"/>
      <c r="O1" s="43"/>
      <c r="P1" s="43" t="s">
        <v>98</v>
      </c>
      <c r="Q1" s="43" t="s">
        <v>104</v>
      </c>
    </row>
    <row r="2" spans="1:17" ht="15.75" x14ac:dyDescent="0.25">
      <c r="A2" s="3"/>
      <c r="B2" s="3" t="s">
        <v>11</v>
      </c>
      <c r="C2" s="3" t="s">
        <v>12</v>
      </c>
      <c r="D2" s="3" t="s">
        <v>12</v>
      </c>
      <c r="E2" s="3" t="s">
        <v>13</v>
      </c>
      <c r="F2" s="3">
        <v>75035</v>
      </c>
      <c r="G2" s="3">
        <v>75038</v>
      </c>
      <c r="H2" s="1">
        <f t="shared" ref="H2" si="0">G2-F2</f>
        <v>3</v>
      </c>
      <c r="I2" s="3" t="s">
        <v>14</v>
      </c>
      <c r="J2" s="3" t="s">
        <v>15</v>
      </c>
      <c r="K2" s="3" t="s">
        <v>16</v>
      </c>
      <c r="L2" s="6">
        <v>18</v>
      </c>
      <c r="M2" s="3"/>
      <c r="N2" s="3"/>
      <c r="O2" s="3"/>
      <c r="P2" s="2">
        <f t="shared" ref="P2" si="1">H2*L2</f>
        <v>54</v>
      </c>
      <c r="Q2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zoomScale="130" zoomScaleNormal="130" workbookViewId="0">
      <selection activeCell="A15" sqref="A15"/>
    </sheetView>
  </sheetViews>
  <sheetFormatPr defaultRowHeight="15" x14ac:dyDescent="0.25"/>
  <cols>
    <col min="1" max="1" width="12.85546875" customWidth="1"/>
    <col min="2" max="2" width="16.5703125" customWidth="1"/>
    <col min="3" max="3" width="19.5703125" customWidth="1"/>
    <col min="4" max="4" width="14.7109375" customWidth="1"/>
    <col min="5" max="5" width="16.28515625" customWidth="1"/>
    <col min="7" max="7" width="10.28515625" customWidth="1"/>
    <col min="9" max="9" width="7.42578125" bestFit="1" customWidth="1"/>
    <col min="11" max="11" width="19.5703125" bestFit="1" customWidth="1"/>
    <col min="14" max="14" width="19.5703125" bestFit="1" customWidth="1"/>
    <col min="15" max="15" width="16" customWidth="1"/>
    <col min="16" max="16" width="19.5703125" customWidth="1"/>
  </cols>
  <sheetData>
    <row r="1" spans="1:16" s="45" customFormat="1" x14ac:dyDescent="0.25">
      <c r="A1" s="43" t="s">
        <v>105</v>
      </c>
      <c r="B1" s="43" t="s">
        <v>383</v>
      </c>
      <c r="C1" s="43" t="s">
        <v>99</v>
      </c>
      <c r="D1" s="43"/>
      <c r="E1" s="43" t="s">
        <v>102</v>
      </c>
      <c r="F1" s="43"/>
      <c r="G1" s="43"/>
      <c r="H1" s="44" t="s">
        <v>100</v>
      </c>
      <c r="I1" s="43"/>
      <c r="J1" s="43"/>
      <c r="K1" s="43"/>
      <c r="L1" s="43" t="s">
        <v>101</v>
      </c>
      <c r="M1" s="43"/>
      <c r="N1" s="43"/>
      <c r="O1" s="43" t="s">
        <v>98</v>
      </c>
      <c r="P1" s="43" t="s">
        <v>104</v>
      </c>
    </row>
    <row r="2" spans="1:16" ht="15.75" x14ac:dyDescent="0.25">
      <c r="A2" s="3" t="s">
        <v>0</v>
      </c>
      <c r="B2" s="3"/>
      <c r="C2" s="3" t="s">
        <v>1</v>
      </c>
      <c r="D2" s="3" t="s">
        <v>1</v>
      </c>
      <c r="E2" s="3" t="s">
        <v>2</v>
      </c>
      <c r="F2" s="3">
        <v>72864</v>
      </c>
      <c r="G2" s="3">
        <v>72876</v>
      </c>
      <c r="H2" s="1">
        <f t="shared" ref="H2" si="0">G2-F2</f>
        <v>12</v>
      </c>
      <c r="I2" s="3" t="s">
        <v>3</v>
      </c>
      <c r="J2" s="3" t="s">
        <v>4</v>
      </c>
      <c r="K2" s="3" t="s">
        <v>5</v>
      </c>
      <c r="L2" s="6">
        <v>18</v>
      </c>
      <c r="M2" s="3"/>
      <c r="N2" s="3"/>
      <c r="O2" s="49">
        <f t="shared" ref="O2" si="1">H2*L2</f>
        <v>216</v>
      </c>
      <c r="P2" s="3"/>
    </row>
    <row r="3" spans="1:16" ht="15.75" x14ac:dyDescent="0.25">
      <c r="A3" s="3" t="s">
        <v>130</v>
      </c>
      <c r="B3" s="3"/>
      <c r="C3" s="16" t="s">
        <v>1</v>
      </c>
      <c r="D3" s="16" t="s">
        <v>131</v>
      </c>
      <c r="E3" s="16" t="s">
        <v>132</v>
      </c>
      <c r="F3" s="16">
        <v>76151</v>
      </c>
      <c r="G3" s="16">
        <v>76153</v>
      </c>
      <c r="H3" s="1">
        <f>G3-F3</f>
        <v>2</v>
      </c>
      <c r="I3" s="16"/>
      <c r="J3" s="16"/>
      <c r="K3" s="16"/>
      <c r="L3" s="6">
        <v>18</v>
      </c>
      <c r="M3" s="16"/>
      <c r="N3" s="16" t="s">
        <v>133</v>
      </c>
      <c r="O3" s="24">
        <f>H3*L3</f>
        <v>36</v>
      </c>
      <c r="P3" s="21"/>
    </row>
    <row r="4" spans="1:16" x14ac:dyDescent="0.25">
      <c r="A4" s="13"/>
      <c r="B4" s="13"/>
      <c r="C4" s="13"/>
      <c r="D4" s="13"/>
      <c r="E4" s="13"/>
      <c r="F4" s="13"/>
      <c r="G4" s="13"/>
      <c r="H4" s="13">
        <f>SUM(H2:H3)</f>
        <v>14</v>
      </c>
      <c r="I4" s="13"/>
      <c r="J4" s="13"/>
      <c r="K4" s="13"/>
      <c r="L4" s="13"/>
      <c r="M4" s="13"/>
      <c r="N4" s="13" t="s">
        <v>157</v>
      </c>
      <c r="O4" s="106">
        <f>SUM(O2:O3)</f>
        <v>252</v>
      </c>
      <c r="P4" s="13" t="s">
        <v>253</v>
      </c>
    </row>
    <row r="5" spans="1:16" s="104" customFormat="1" x14ac:dyDescent="0.25">
      <c r="O5" s="105"/>
    </row>
    <row r="6" spans="1:16" ht="15.75" x14ac:dyDescent="0.25">
      <c r="A6" s="96">
        <v>45867</v>
      </c>
      <c r="B6" s="16" t="s">
        <v>386</v>
      </c>
      <c r="C6" s="16" t="s">
        <v>1</v>
      </c>
      <c r="D6" s="3" t="s">
        <v>1</v>
      </c>
      <c r="E6" s="16" t="s">
        <v>387</v>
      </c>
      <c r="F6" s="112">
        <v>706</v>
      </c>
      <c r="G6" s="112">
        <v>722</v>
      </c>
      <c r="H6" s="113">
        <f>G6-F6</f>
        <v>16</v>
      </c>
      <c r="I6" s="112" t="s">
        <v>156</v>
      </c>
      <c r="J6" s="16"/>
      <c r="K6" s="22">
        <v>30</v>
      </c>
      <c r="L6" s="16"/>
      <c r="M6" s="16"/>
      <c r="N6" s="16"/>
      <c r="O6" s="22">
        <f>K6*H6</f>
        <v>480</v>
      </c>
      <c r="P6" s="16"/>
    </row>
    <row r="7" spans="1:16" ht="15.75" x14ac:dyDescent="0.25">
      <c r="A7" s="96">
        <v>45947</v>
      </c>
      <c r="B7" s="3" t="s">
        <v>384</v>
      </c>
      <c r="C7" s="16" t="s">
        <v>1</v>
      </c>
      <c r="D7" s="3" t="s">
        <v>1</v>
      </c>
      <c r="E7" s="16" t="s">
        <v>176</v>
      </c>
      <c r="F7" s="112">
        <v>46241</v>
      </c>
      <c r="G7" s="112">
        <v>46264</v>
      </c>
      <c r="H7" s="113">
        <f t="shared" ref="H7:H12" si="2">G7-F7</f>
        <v>23</v>
      </c>
      <c r="I7" s="112" t="s">
        <v>389</v>
      </c>
      <c r="J7" s="112" t="s">
        <v>156</v>
      </c>
      <c r="K7" s="22">
        <v>30</v>
      </c>
      <c r="L7" s="16"/>
      <c r="M7" s="16"/>
      <c r="N7" s="16"/>
      <c r="O7" s="22">
        <f t="shared" ref="O7:O12" si="3">K7*H7</f>
        <v>690</v>
      </c>
      <c r="P7" s="16"/>
    </row>
    <row r="8" spans="1:16" ht="15.75" x14ac:dyDescent="0.25">
      <c r="A8" s="96">
        <v>45948</v>
      </c>
      <c r="B8" s="3" t="s">
        <v>384</v>
      </c>
      <c r="C8" s="16" t="s">
        <v>1</v>
      </c>
      <c r="D8" s="3" t="s">
        <v>1</v>
      </c>
      <c r="E8" s="16" t="s">
        <v>176</v>
      </c>
      <c r="F8" s="112">
        <v>46274</v>
      </c>
      <c r="G8" s="112">
        <v>46295</v>
      </c>
      <c r="H8" s="113">
        <f t="shared" si="2"/>
        <v>21</v>
      </c>
      <c r="I8" s="112" t="s">
        <v>390</v>
      </c>
      <c r="J8" s="112" t="s">
        <v>391</v>
      </c>
      <c r="K8" s="22">
        <v>30</v>
      </c>
      <c r="L8" s="16"/>
      <c r="M8" s="16"/>
      <c r="N8" s="16"/>
      <c r="O8" s="22">
        <f t="shared" si="3"/>
        <v>630</v>
      </c>
      <c r="P8" s="16"/>
    </row>
    <row r="9" spans="1:16" ht="15.75" x14ac:dyDescent="0.25">
      <c r="A9" s="96">
        <v>45958</v>
      </c>
      <c r="B9" s="3" t="s">
        <v>384</v>
      </c>
      <c r="C9" s="16" t="s">
        <v>1</v>
      </c>
      <c r="D9" s="3" t="s">
        <v>1</v>
      </c>
      <c r="E9" s="16" t="s">
        <v>176</v>
      </c>
      <c r="F9" s="112">
        <v>46295</v>
      </c>
      <c r="G9" s="112">
        <v>46319</v>
      </c>
      <c r="H9" s="113">
        <f t="shared" si="2"/>
        <v>24</v>
      </c>
      <c r="I9" s="112" t="s">
        <v>318</v>
      </c>
      <c r="J9" s="112" t="s">
        <v>392</v>
      </c>
      <c r="K9" s="22">
        <v>30</v>
      </c>
      <c r="L9" s="16"/>
      <c r="M9" s="16"/>
      <c r="N9" s="16"/>
      <c r="O9" s="22">
        <f t="shared" si="3"/>
        <v>720</v>
      </c>
      <c r="P9" s="16"/>
    </row>
    <row r="10" spans="1:16" ht="15.75" x14ac:dyDescent="0.25">
      <c r="A10" s="96">
        <v>45961</v>
      </c>
      <c r="B10" s="3" t="s">
        <v>384</v>
      </c>
      <c r="C10" s="16" t="s">
        <v>1</v>
      </c>
      <c r="D10" s="3" t="s">
        <v>1</v>
      </c>
      <c r="E10" s="16" t="s">
        <v>388</v>
      </c>
      <c r="F10" s="112">
        <v>46319</v>
      </c>
      <c r="G10" s="112">
        <v>46490</v>
      </c>
      <c r="H10" s="113">
        <f t="shared" si="2"/>
        <v>171</v>
      </c>
      <c r="I10" s="112" t="s">
        <v>393</v>
      </c>
      <c r="J10" s="112" t="s">
        <v>94</v>
      </c>
      <c r="K10" s="22">
        <v>30</v>
      </c>
      <c r="L10" s="16"/>
      <c r="M10" s="16"/>
      <c r="N10" s="16"/>
      <c r="O10" s="22">
        <f t="shared" si="3"/>
        <v>5130</v>
      </c>
      <c r="P10" s="16"/>
    </row>
    <row r="11" spans="1:16" ht="15.75" x14ac:dyDescent="0.25">
      <c r="A11" s="48" t="s">
        <v>338</v>
      </c>
      <c r="B11" s="3" t="s">
        <v>384</v>
      </c>
      <c r="C11" s="16" t="s">
        <v>1</v>
      </c>
      <c r="D11" s="3" t="s">
        <v>1</v>
      </c>
      <c r="E11" s="16" t="s">
        <v>339</v>
      </c>
      <c r="F11" s="16">
        <v>47549</v>
      </c>
      <c r="G11" s="16">
        <v>47573</v>
      </c>
      <c r="H11" s="113">
        <f t="shared" si="2"/>
        <v>24</v>
      </c>
      <c r="I11" s="16" t="s">
        <v>340</v>
      </c>
      <c r="J11" s="16" t="s">
        <v>341</v>
      </c>
      <c r="K11" s="6">
        <v>30</v>
      </c>
      <c r="L11" s="16"/>
      <c r="M11" s="16"/>
      <c r="N11" s="18" t="s">
        <v>90</v>
      </c>
      <c r="O11" s="22">
        <f t="shared" si="3"/>
        <v>720</v>
      </c>
      <c r="P11" s="16"/>
    </row>
    <row r="12" spans="1:16" ht="15.75" x14ac:dyDescent="0.25">
      <c r="A12" s="103" t="s">
        <v>359</v>
      </c>
      <c r="B12" s="16" t="s">
        <v>364</v>
      </c>
      <c r="C12" s="16" t="s">
        <v>1</v>
      </c>
      <c r="D12" s="16"/>
      <c r="E12" s="16" t="s">
        <v>360</v>
      </c>
      <c r="F12" s="16">
        <v>82262</v>
      </c>
      <c r="G12" s="16">
        <v>82265</v>
      </c>
      <c r="H12" s="113">
        <f t="shared" si="2"/>
        <v>3</v>
      </c>
      <c r="I12" s="16" t="s">
        <v>361</v>
      </c>
      <c r="J12" s="16" t="s">
        <v>362</v>
      </c>
      <c r="K12" s="22">
        <v>18</v>
      </c>
      <c r="L12" s="16"/>
      <c r="M12" s="16"/>
      <c r="N12" s="22" t="s">
        <v>1</v>
      </c>
      <c r="O12" s="22">
        <f t="shared" si="3"/>
        <v>54</v>
      </c>
      <c r="P12" s="16"/>
    </row>
    <row r="13" spans="1:16" s="92" customFormat="1" x14ac:dyDescent="0.25">
      <c r="A13" s="13"/>
      <c r="B13" s="13"/>
      <c r="C13" s="13"/>
      <c r="D13" s="13"/>
      <c r="E13" s="13"/>
      <c r="F13" s="13"/>
      <c r="G13" s="13"/>
      <c r="H13" s="13">
        <f>SUM(H6:H12)</f>
        <v>282</v>
      </c>
      <c r="I13" s="13"/>
      <c r="J13" s="13"/>
      <c r="K13" s="14"/>
      <c r="L13" s="13"/>
      <c r="M13" s="13"/>
      <c r="N13" s="13"/>
      <c r="O13" s="14">
        <f>SUM(O6:O12)</f>
        <v>8424</v>
      </c>
      <c r="P13" s="13" t="s">
        <v>400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selection activeCell="H16" sqref="H16"/>
    </sheetView>
  </sheetViews>
  <sheetFormatPr defaultRowHeight="15" x14ac:dyDescent="0.25"/>
  <cols>
    <col min="1" max="1" width="5.140625" customWidth="1"/>
    <col min="2" max="2" width="12.140625" customWidth="1"/>
    <col min="3" max="3" width="18.28515625" customWidth="1"/>
    <col min="4" max="4" width="18.28515625" bestFit="1" customWidth="1"/>
    <col min="5" max="5" width="24.140625" customWidth="1"/>
    <col min="6" max="6" width="17.85546875" customWidth="1"/>
    <col min="12" max="12" width="17" bestFit="1" customWidth="1"/>
    <col min="13" max="13" width="5.85546875" customWidth="1"/>
    <col min="16" max="16" width="7" customWidth="1"/>
    <col min="17" max="17" width="16" customWidth="1"/>
    <col min="18" max="18" width="16.85546875" customWidth="1"/>
  </cols>
  <sheetData>
    <row r="1" spans="1:18" s="45" customFormat="1" x14ac:dyDescent="0.25">
      <c r="A1" s="43"/>
      <c r="B1" s="43" t="s">
        <v>105</v>
      </c>
      <c r="C1" s="43" t="s">
        <v>376</v>
      </c>
      <c r="D1" s="43" t="s">
        <v>99</v>
      </c>
      <c r="E1" s="43"/>
      <c r="F1" s="43" t="s">
        <v>102</v>
      </c>
      <c r="G1" s="43"/>
      <c r="H1" s="43"/>
      <c r="I1" s="44" t="s">
        <v>100</v>
      </c>
      <c r="J1" s="43"/>
      <c r="K1" s="43"/>
      <c r="L1" s="43"/>
      <c r="M1" s="43" t="s">
        <v>101</v>
      </c>
      <c r="N1" s="43"/>
      <c r="O1" s="43"/>
      <c r="P1" s="43"/>
      <c r="Q1" s="43" t="s">
        <v>98</v>
      </c>
      <c r="R1" s="43" t="s">
        <v>104</v>
      </c>
    </row>
    <row r="2" spans="1:18" x14ac:dyDescent="0.25">
      <c r="A2" s="3"/>
      <c r="B2" s="3" t="s">
        <v>146</v>
      </c>
      <c r="C2" s="3"/>
      <c r="D2" s="3" t="s">
        <v>147</v>
      </c>
      <c r="E2" s="3" t="s">
        <v>147</v>
      </c>
      <c r="F2" s="3" t="s">
        <v>2</v>
      </c>
      <c r="G2" s="3">
        <v>67831</v>
      </c>
      <c r="H2" s="3">
        <v>67849</v>
      </c>
      <c r="I2" s="3">
        <f>H2-G2</f>
        <v>18</v>
      </c>
      <c r="J2" s="3" t="s">
        <v>148</v>
      </c>
      <c r="K2" s="3" t="s">
        <v>143</v>
      </c>
      <c r="L2" s="3" t="s">
        <v>145</v>
      </c>
      <c r="M2" s="3">
        <v>18</v>
      </c>
      <c r="N2" s="3"/>
      <c r="O2" s="3" t="s">
        <v>145</v>
      </c>
      <c r="P2" s="3"/>
      <c r="Q2" s="3">
        <f>I2*M2</f>
        <v>324</v>
      </c>
    </row>
    <row r="3" spans="1:18" x14ac:dyDescent="0.25">
      <c r="B3" s="16" t="s">
        <v>214</v>
      </c>
      <c r="C3" s="16"/>
      <c r="D3" s="16" t="s">
        <v>215</v>
      </c>
      <c r="E3" s="88" t="s">
        <v>254</v>
      </c>
      <c r="F3" s="16" t="s">
        <v>216</v>
      </c>
      <c r="G3" s="16">
        <v>78847</v>
      </c>
      <c r="H3" s="16">
        <v>78868</v>
      </c>
      <c r="I3" s="16">
        <v>21</v>
      </c>
      <c r="J3" s="16" t="s">
        <v>73</v>
      </c>
      <c r="K3" s="16" t="s">
        <v>155</v>
      </c>
      <c r="L3" t="s">
        <v>217</v>
      </c>
      <c r="M3">
        <v>18</v>
      </c>
      <c r="Q3" s="3">
        <f>I3*M3</f>
        <v>378</v>
      </c>
    </row>
    <row r="4" spans="1:18" x14ac:dyDescent="0.25">
      <c r="A4" s="83"/>
      <c r="B4" s="83"/>
      <c r="C4" s="83"/>
      <c r="D4" s="28"/>
      <c r="E4" s="28"/>
      <c r="F4" s="28"/>
      <c r="G4" s="28"/>
      <c r="H4" s="28"/>
      <c r="I4" s="28">
        <f>SUM(I2:I3)</f>
        <v>39</v>
      </c>
      <c r="J4" s="28"/>
      <c r="K4" s="28"/>
      <c r="L4" s="28"/>
      <c r="M4" s="28"/>
      <c r="N4" s="28"/>
      <c r="O4" s="28"/>
      <c r="P4" s="28" t="s">
        <v>157</v>
      </c>
      <c r="Q4" s="97">
        <f>SUM(Q2:Q3)</f>
        <v>702</v>
      </c>
      <c r="R4" s="28" t="s">
        <v>255</v>
      </c>
    </row>
    <row r="5" spans="1:18" ht="15.75" x14ac:dyDescent="0.25">
      <c r="A5" s="8"/>
      <c r="B5" s="102">
        <v>46030</v>
      </c>
      <c r="C5" s="102" t="s">
        <v>385</v>
      </c>
      <c r="D5" s="8" t="s">
        <v>254</v>
      </c>
      <c r="E5" s="8" t="s">
        <v>254</v>
      </c>
      <c r="F5" s="98" t="s">
        <v>176</v>
      </c>
      <c r="G5" s="8">
        <v>47573</v>
      </c>
      <c r="H5" s="99">
        <v>47597</v>
      </c>
      <c r="I5" s="9">
        <v>24</v>
      </c>
      <c r="J5" s="100" t="s">
        <v>179</v>
      </c>
      <c r="K5" s="101" t="s">
        <v>365</v>
      </c>
      <c r="L5" s="8" t="s">
        <v>90</v>
      </c>
      <c r="M5" s="8">
        <v>30</v>
      </c>
      <c r="N5" s="8" t="s">
        <v>363</v>
      </c>
      <c r="O5" s="8"/>
      <c r="P5" s="8"/>
      <c r="Q5" s="8">
        <f>I5*M5</f>
        <v>720</v>
      </c>
      <c r="R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</vt:lpstr>
      <vt:lpstr>Pashan Cenrtre</vt:lpstr>
      <vt:lpstr>GGD Voice</vt:lpstr>
      <vt:lpstr>Brahmvidya</vt:lpstr>
      <vt:lpstr>Atmanivedanyoga</vt:lpstr>
      <vt:lpstr>Voice Pub</vt:lpstr>
      <vt:lpstr>FFL+ EM</vt:lpstr>
      <vt:lpstr>Project</vt:lpstr>
      <vt:lpstr>Garden</vt:lpstr>
      <vt:lpstr>Gita Contest</vt:lpstr>
      <vt:lpstr>Janmastami Festival</vt:lpstr>
      <vt:lpstr>Houskiping</vt:lpstr>
      <vt:lpstr>D T Festival</vt:lpstr>
      <vt:lpstr>Balaji Mandir</vt:lpstr>
      <vt:lpstr>Pooja Thali</vt:lpstr>
      <vt:lpstr>JDOD</vt:lpstr>
      <vt:lpstr>B Ashram</vt:lpstr>
      <vt:lpstr>Manager</vt:lpstr>
      <vt:lpstr>Velha Meitanance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2026-02-16T13:21:29Z</dcterms:modified>
</cp:coreProperties>
</file>