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Z:\JD NVCC\Documents\Documents 2025-26\Master Reports\"/>
    </mc:Choice>
  </mc:AlternateContent>
  <bookViews>
    <workbookView xWindow="0" yWindow="0" windowWidth="20490" windowHeight="7755" tabRatio="780" activeTab="4"/>
  </bookViews>
  <sheets>
    <sheet name="RVC stall cupboard 2024-25 " sheetId="2" r:id="rId1"/>
    <sheet name="AMSD Table Loft Cu &amp; Lotus Feet" sheetId="3" r:id="rId2"/>
    <sheet name="SSGN Stall 2024-25" sheetId="4" r:id="rId3"/>
    <sheet name="Loft" sheetId="5" r:id="rId4"/>
    <sheet name="JD Godown" sheetId="6" r:id="rId5"/>
    <sheet name="Other" sheetId="1" r:id="rId6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3" i="5" l="1"/>
  <c r="C22" i="3" l="1"/>
  <c r="C31" i="2"/>
  <c r="I2" i="1" l="1"/>
</calcChain>
</file>

<file path=xl/sharedStrings.xml><?xml version="1.0" encoding="utf-8"?>
<sst xmlns="http://schemas.openxmlformats.org/spreadsheetml/2006/main" count="251" uniqueCount="217">
  <si>
    <t>Sr.No</t>
  </si>
  <si>
    <t>Project Name</t>
  </si>
  <si>
    <t>Date</t>
  </si>
  <si>
    <t>Department</t>
  </si>
  <si>
    <t>New Tables for SSGN Stall</t>
  </si>
  <si>
    <t>Description</t>
  </si>
  <si>
    <t>Jivadaya</t>
  </si>
  <si>
    <t>Total Project Cost</t>
  </si>
  <si>
    <t>Qty</t>
  </si>
  <si>
    <t>Rate</t>
  </si>
  <si>
    <t>Net Cost</t>
  </si>
  <si>
    <t>Sn</t>
  </si>
  <si>
    <t>Items</t>
  </si>
  <si>
    <t>Amount</t>
  </si>
  <si>
    <t>Purchase of Raw Material for Renovation of RVC Stall Cupboard</t>
  </si>
  <si>
    <t>Laminate Sheet</t>
  </si>
  <si>
    <t>Plywood</t>
  </si>
  <si>
    <t>Adhesive</t>
  </si>
  <si>
    <t>Abro Tap</t>
  </si>
  <si>
    <t>MDF 3.6mm 8*4                                                                                              = 876</t>
  </si>
  <si>
    <t>MDF 3.6mm 8*4                                                                                              = 2560</t>
  </si>
  <si>
    <t>Material Paint, Niekel,patty,hings etc &amp; Labour charges</t>
  </si>
  <si>
    <t>T W 1 un- 3 qty                                                                                                =  1040</t>
  </si>
  <si>
    <t>6 " Roller                                                                                                           = 80</t>
  </si>
  <si>
    <t>BTC Lipping                                                                                                      = 180</t>
  </si>
  <si>
    <t>SS Knob                                                                                                             =  440</t>
  </si>
  <si>
    <t>B Knob                                                                                                               =  110</t>
  </si>
  <si>
    <t>Zippo Handle qty-2                                                                                      =   240</t>
  </si>
  <si>
    <t>R. Buss 1/2 inch  qty-4                                                                                 = 40</t>
  </si>
  <si>
    <t>Nickel nails 750 g                                                                                           =  135</t>
  </si>
  <si>
    <t>Brush 2"                                                                                                             = 30</t>
  </si>
  <si>
    <t>Nails    1 kg                                                                                                        = 200</t>
  </si>
  <si>
    <t>W Hinges SSF 4" 3/4 X 19mm ssf 3qty                                                    =  2310</t>
  </si>
  <si>
    <t>Hinges 702 - W-3-100mm  3qty                                                                =3077</t>
  </si>
  <si>
    <t>Labour Charges of Carpenter</t>
  </si>
  <si>
    <t>Labour Charges of painter</t>
  </si>
  <si>
    <t>Kadi 8 nos</t>
  </si>
  <si>
    <t>L .corner 4 pcs and Latch ( Saprash 2 pcs)</t>
  </si>
  <si>
    <r>
      <t>Fabrication material for making SSGN Stall Backdrobe</t>
    </r>
    <r>
      <rPr>
        <sz val="11"/>
        <rFont val="Calibri"/>
        <family val="2"/>
        <scheme val="minor"/>
      </rPr>
      <t>(Pipe 1x1- 7kg 25 qty@23.50 &amp; Angle 25x 36.5 @53.50)</t>
    </r>
  </si>
  <si>
    <t xml:space="preserve">Labour charges for Fabrication work of SSGN Stall Backdrobe. </t>
  </si>
  <si>
    <t>Total :-</t>
  </si>
  <si>
    <t xml:space="preserve">Plywood 12mm - 7*3- </t>
  </si>
  <si>
    <t>Drawer 20mm 5 pin</t>
  </si>
  <si>
    <t>Drawer Material &amp; Labour charges</t>
  </si>
  <si>
    <t>Table Buffer 8 qty                                   =  40</t>
  </si>
  <si>
    <t>Patty 1 X 1/4 26 '                                      = 234</t>
  </si>
  <si>
    <t>Self Button  8 qty                                    = 96</t>
  </si>
  <si>
    <t>Handle 4"   2 qty                                      = 260</t>
  </si>
  <si>
    <t>Patty 1 X 1/2 6 mm                                 =  80</t>
  </si>
  <si>
    <t>Mirror Caps 12qty                                   = 90</t>
  </si>
  <si>
    <t>L Cornor  2 qty                                          = 40</t>
  </si>
  <si>
    <t>Nails  6 X 38 csk                                         = 12</t>
  </si>
  <si>
    <t>Trishul 20mm bit                                       = 40</t>
  </si>
  <si>
    <t>hexo blade     1 qty                                    = 10</t>
  </si>
  <si>
    <t>E- Patty                                                          = 280</t>
  </si>
  <si>
    <t>Bearing                                                            = 120</t>
  </si>
  <si>
    <t>Labour Charges of Carpenter   ( 8710 + 3000 )</t>
  </si>
  <si>
    <t>Sunmica ( Laminate Sheet ) 1 pcs</t>
  </si>
  <si>
    <t xml:space="preserve">Total :- </t>
  </si>
  <si>
    <t>For Office Table, 2 Loft Cupboard &amp; JD Display cupboard   2024- 25</t>
  </si>
  <si>
    <r>
      <t xml:space="preserve">Aluminum Glass door- 2 bill-                             </t>
    </r>
    <r>
      <rPr>
        <sz val="11"/>
        <rFont val="Calibri"/>
        <family val="2"/>
        <scheme val="minor"/>
      </rPr>
      <t xml:space="preserve"> 5000 + 19587</t>
    </r>
  </si>
  <si>
    <t>Purchase of material for construction of 2 tables (72x34x30 inches) for SSGN Stall</t>
  </si>
  <si>
    <t>17.08.24</t>
  </si>
  <si>
    <t>Purchase of material for construction of 2 tables (72x34x30 inches) for SSGN Stall_2</t>
  </si>
  <si>
    <t>Purchase of material for construction of 2 tables (72x34x30 inches) for SSGN Stall_3</t>
  </si>
  <si>
    <t>Balance amount of Carpenter for making table for SSGN Stall_4</t>
  </si>
  <si>
    <t>20.09.24</t>
  </si>
  <si>
    <t>26.08.24</t>
  </si>
  <si>
    <t>22.08.24</t>
  </si>
  <si>
    <t>2 Tables for SSGN Stall</t>
  </si>
  <si>
    <t>23.08.24</t>
  </si>
  <si>
    <t>Purchase of material table glass  for construction of 2 tables for SSGN Stall_3</t>
  </si>
  <si>
    <t>27.08.24</t>
  </si>
  <si>
    <t>Labour Charges of Carpenter for making table for SSGN Stall_1 - Sukhram Surhar</t>
  </si>
  <si>
    <t>Labour Charges of Carpenter for making table for SSGN Stall_2  - Ram Prasad</t>
  </si>
  <si>
    <t>18.09.24</t>
  </si>
  <si>
    <t>Purchase of material table Salading Glass  for construction of 2 tables for SSGN Stall_4</t>
  </si>
  <si>
    <t>30.08.24</t>
  </si>
  <si>
    <t>Labour Charges of Carpenter for Paint- Polish charges table for SSGN Stall_3 - Sukhram Surhar</t>
  </si>
  <si>
    <t>Labour Charges for Electrical work at SSGN Books Stall</t>
  </si>
  <si>
    <t>30.11.24</t>
  </si>
  <si>
    <t>Purchase of 7 nos Table Runner for SSGN Book Stall                                             1127 + 516</t>
  </si>
  <si>
    <t xml:space="preserve">Purchase of 2 Bedsheet for SSGN Book Stall  </t>
  </si>
  <si>
    <t>21.09.24</t>
  </si>
  <si>
    <t>Furniture material payment june_2023</t>
  </si>
  <si>
    <t>03.06.23</t>
  </si>
  <si>
    <t>Ratan Ply And Laminate</t>
  </si>
  <si>
    <t>Furniture material of Table making for books stall</t>
  </si>
  <si>
    <t>Woodanza</t>
  </si>
  <si>
    <t>18.08.23</t>
  </si>
  <si>
    <t>Labour charges for making loft at Jivadaya WH.</t>
  </si>
  <si>
    <t>Sameer Sayyed</t>
  </si>
  <si>
    <t>11.10.23</t>
  </si>
  <si>
    <t>Purchase of Plywood for making loft at Jivadaya.</t>
  </si>
  <si>
    <t>Purchase of Loft Making Material  Pipe,Plate, fastner and Europa lock.</t>
  </si>
  <si>
    <t>Santosh steels</t>
  </si>
  <si>
    <t>16.10.23</t>
  </si>
  <si>
    <t>Purchase of Angle &amp; Patti for making 20 iron pallate  keeping books boxes</t>
  </si>
  <si>
    <t>07.11.23</t>
  </si>
  <si>
    <t>Purchase of material for making new book table for SSGN Stall</t>
  </si>
  <si>
    <t>Mukesh Ply</t>
  </si>
  <si>
    <t>18.11.23</t>
  </si>
  <si>
    <t>22.11.23</t>
  </si>
  <si>
    <t>Purchase of Iron material for making door for godown</t>
  </si>
  <si>
    <t>04.12.23</t>
  </si>
  <si>
    <t>Purchase of 12 wheels for 2 JD Trollies and 1 SSGN new table</t>
  </si>
  <si>
    <t>Arijit Basu</t>
  </si>
  <si>
    <t>Settled- Purchase of material for making new book table for SSGN Stall</t>
  </si>
  <si>
    <t>07.12.23</t>
  </si>
  <si>
    <t>Purchase of material for making new book table for SSGN Stall_(2).</t>
  </si>
  <si>
    <t>Purchase of material for making new book table for SSGN Stall_(3).</t>
  </si>
  <si>
    <t>14.01.24</t>
  </si>
  <si>
    <t>16.01.24</t>
  </si>
  <si>
    <t>Purchase of 6 wheels for  SSGN new table</t>
  </si>
  <si>
    <t>29.01.24</t>
  </si>
  <si>
    <t>Purchase of 4 wheels for  SSGN new table</t>
  </si>
  <si>
    <t>01.06.23</t>
  </si>
  <si>
    <t>Labour Chargers for Jagadish- Carpentor book distribution table</t>
  </si>
  <si>
    <t>12.06.23</t>
  </si>
  <si>
    <t>13.06.23</t>
  </si>
  <si>
    <t>Labour Chargers for Jagadish- Carpentor 17 wooden frames</t>
  </si>
  <si>
    <t>28.08.23</t>
  </si>
  <si>
    <t>Labour Chargers for book distribution table Polasing charges.</t>
  </si>
  <si>
    <t>29.08.23</t>
  </si>
  <si>
    <t>Labour Chargers for book distribution table Making- Dilip Aiwale</t>
  </si>
  <si>
    <t>21.10.23</t>
  </si>
  <si>
    <t>Labour charges for contruction of godown_1(5*1200)</t>
  </si>
  <si>
    <t>22.10.23</t>
  </si>
  <si>
    <t>Labour charges for contruction of godown_2</t>
  </si>
  <si>
    <t>23.10.23</t>
  </si>
  <si>
    <t>Labour charges for contruction of godown_3</t>
  </si>
  <si>
    <t>24.10.23</t>
  </si>
  <si>
    <t>Labour charges for contruction of godown_4</t>
  </si>
  <si>
    <t>25.10.23</t>
  </si>
  <si>
    <t>Labour charges for contruction of godown_5</t>
  </si>
  <si>
    <t>30.10.23</t>
  </si>
  <si>
    <t>Purchase of Water Pape for contruction of godown</t>
  </si>
  <si>
    <t>27.10.23</t>
  </si>
  <si>
    <t>Purchase of cement,concrete etc. for contruction of godown</t>
  </si>
  <si>
    <t>23.11.23</t>
  </si>
  <si>
    <t>Purchase of electric  material for waring of godown</t>
  </si>
  <si>
    <t>Purchase of electric  material for waring of godown(2)</t>
  </si>
  <si>
    <t>Purchase of electric  material for waring of godown(3)</t>
  </si>
  <si>
    <t>Purchase of electric  material for waring of godown(4)</t>
  </si>
  <si>
    <t>09.11.23</t>
  </si>
  <si>
    <t xml:space="preserve">Labour charges for construction of window  of godown </t>
  </si>
  <si>
    <t>28.11.23</t>
  </si>
  <si>
    <t>Labour charges cutting &amp; Band of door for contruction of godown</t>
  </si>
  <si>
    <t>02.11.23</t>
  </si>
  <si>
    <t>Purchase of Door Material of godown</t>
  </si>
  <si>
    <t>20.11.23</t>
  </si>
  <si>
    <t xml:space="preserve">Purchae of Paint for door painting.                                                             </t>
  </si>
  <si>
    <t>05.12.23</t>
  </si>
  <si>
    <t xml:space="preserve">Purchae of Paint for door painting oil.                                                             </t>
  </si>
  <si>
    <t>24.11.23</t>
  </si>
  <si>
    <t>Purchase of Waring pipe for waring of godown</t>
  </si>
  <si>
    <t>10.11.23</t>
  </si>
  <si>
    <t>Labour charges  of Painting for contruction of godown</t>
  </si>
  <si>
    <t>11.11.23</t>
  </si>
  <si>
    <t>Labour charges  of cement flooring for contruction of godown</t>
  </si>
  <si>
    <t>12.11.23</t>
  </si>
  <si>
    <t>Transportation charges for Construction material for godown.</t>
  </si>
  <si>
    <t>14.12.23</t>
  </si>
  <si>
    <t>Labour charges of polish  New book table for SSGN Stall.</t>
  </si>
  <si>
    <t>Purchase of screw, bolt etc for table making</t>
  </si>
  <si>
    <t>Purchase of Nut bolt etc for table making</t>
  </si>
  <si>
    <t>18.12.23</t>
  </si>
  <si>
    <t>cash</t>
  </si>
  <si>
    <t>10.01.24</t>
  </si>
  <si>
    <t>Transportation Auto charges for furniture hardware materials deliverd.</t>
  </si>
  <si>
    <t>12.02.24</t>
  </si>
  <si>
    <t>Purchase of CRC Pipe  material for making SSGN new table</t>
  </si>
  <si>
    <t xml:space="preserve">Date </t>
  </si>
  <si>
    <t>Expenses</t>
  </si>
  <si>
    <t>Expenses  (Jd Godown contruction work)</t>
  </si>
  <si>
    <t>Carpentry Charges for making  customised tables &amp; racks for JD Loft"</t>
  </si>
  <si>
    <t>01.09.25</t>
  </si>
  <si>
    <t>Carpentry Charges for making  customised tables &amp; racks for JD Loft"_1</t>
  </si>
  <si>
    <t>Donation for AMSD Table by Arpit Pr</t>
  </si>
  <si>
    <t>12.09.25</t>
  </si>
  <si>
    <t>Carpentry Charges for making  customised tables &amp; racks for JD Loft"_2</t>
  </si>
  <si>
    <t>Madhav Interiors</t>
  </si>
  <si>
    <t>Carpentry Charges for making  customised tables &amp; racks for JD Loft"_3</t>
  </si>
  <si>
    <t>07.10.25</t>
  </si>
  <si>
    <t>Carpentry Charges for making  customised tables &amp; racks for JD Loft"_4</t>
  </si>
  <si>
    <t xml:space="preserve">Total- </t>
  </si>
  <si>
    <t>Purchase of hooks for hanging TV for JD Loft.      (185+60+20)</t>
  </si>
  <si>
    <t>Purchase of white Paint for Jd loft</t>
  </si>
  <si>
    <t>03.10.25</t>
  </si>
  <si>
    <t>06.10.25</t>
  </si>
  <si>
    <t xml:space="preserve">cash </t>
  </si>
  <si>
    <t>Purchase of 2 brass crush sand &amp; 15 cement bags for flooring in New Godown</t>
  </si>
  <si>
    <t>15.11.25</t>
  </si>
  <si>
    <t>Expenses  (Jd Godown  Construction Tiles  work)</t>
  </si>
  <si>
    <t>15.12.25</t>
  </si>
  <si>
    <t>Labour Charges for Books Boxes shifted from the old godown to the new godown.</t>
  </si>
  <si>
    <t>Transportion Tractor dumping waste material from godown.</t>
  </si>
  <si>
    <t>20.12.25</t>
  </si>
  <si>
    <t>17.12.25</t>
  </si>
  <si>
    <t>Hiring charges of Breaker machine for break flooring in new godown</t>
  </si>
  <si>
    <t>18.12.25</t>
  </si>
  <si>
    <t>Hiring charges of Breaker machine for break flooring in new godown_2</t>
  </si>
  <si>
    <t>25.12.25</t>
  </si>
  <si>
    <t xml:space="preserve"> Labour Charges for Constraction work for flooring in New Godown_1</t>
  </si>
  <si>
    <t xml:space="preserve"> Labour Charges for Constraction work for flooring in New Godown_2</t>
  </si>
  <si>
    <t xml:space="preserve"> Labour Charges for Constraction work for flooring in New Godown_3</t>
  </si>
  <si>
    <t>31.12.25</t>
  </si>
  <si>
    <t xml:space="preserve"> Labour Charges for Constraction work forTiles fitting for  flooring in New Godown_4</t>
  </si>
  <si>
    <t xml:space="preserve"> Labour Charges for Constraction work forTiles fitting for  flooring in New Godown_5</t>
  </si>
  <si>
    <t>14.01.26</t>
  </si>
  <si>
    <t xml:space="preserve"> Labour Charges for Constraction work for Polishing flooring in New Godown</t>
  </si>
  <si>
    <t xml:space="preserve">Purchase of Paint </t>
  </si>
  <si>
    <t>06.02.26</t>
  </si>
  <si>
    <t>13.02.26</t>
  </si>
  <si>
    <t>for Paintingwork in New Godown( to Ravi Nagapalle</t>
  </si>
  <si>
    <t>10.02.26</t>
  </si>
  <si>
    <t>Purchase of Crackseal powder 3 kg for Jd Godown painting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</si>
</sst>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4D5156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0" borderId="1" xfId="0" applyFont="1" applyBorder="1"/>
    <xf numFmtId="0" fontId="4" fillId="0" borderId="1" xfId="0" applyFont="1" applyBorder="1"/>
    <xf numFmtId="0" fontId="0" fillId="0" borderId="1" xfId="0" applyBorder="1"/>
    <xf numFmtId="0" fontId="0" fillId="0" borderId="1" xfId="0" applyBorder="1" applyAlignment="1">
      <alignment horizontal="left" vertical="top"/>
    </xf>
    <xf numFmtId="0" fontId="1" fillId="0" borderId="1" xfId="0" applyFont="1" applyBorder="1"/>
    <xf numFmtId="0" fontId="0" fillId="0" borderId="0" xfId="0" applyBorder="1"/>
    <xf numFmtId="0" fontId="0" fillId="0" borderId="0" xfId="0" applyBorder="1" applyAlignment="1">
      <alignment horizontal="center" vertical="center"/>
    </xf>
    <xf numFmtId="0" fontId="2" fillId="0" borderId="1" xfId="0" applyFont="1" applyBorder="1"/>
    <xf numFmtId="0" fontId="0" fillId="0" borderId="1" xfId="0" applyFill="1" applyBorder="1"/>
    <xf numFmtId="0" fontId="0" fillId="0" borderId="3" xfId="0" applyFill="1" applyBorder="1"/>
    <xf numFmtId="0" fontId="0" fillId="3" borderId="2" xfId="0" applyFill="1" applyBorder="1"/>
    <xf numFmtId="0" fontId="6" fillId="3" borderId="4" xfId="0" applyFont="1" applyFill="1" applyBorder="1" applyAlignment="1">
      <alignment horizontal="center"/>
    </xf>
    <xf numFmtId="0" fontId="0" fillId="3" borderId="5" xfId="0" applyFill="1" applyBorder="1"/>
    <xf numFmtId="0" fontId="2" fillId="0" borderId="1" xfId="0" applyFont="1" applyBorder="1" applyAlignment="1">
      <alignment wrapText="1"/>
    </xf>
    <xf numFmtId="0" fontId="0" fillId="0" borderId="1" xfId="0" applyFont="1" applyFill="1" applyBorder="1"/>
    <xf numFmtId="0" fontId="7" fillId="0" borderId="0" xfId="0" applyFont="1"/>
    <xf numFmtId="0" fontId="0" fillId="3" borderId="1" xfId="0" applyFill="1" applyBorder="1"/>
    <xf numFmtId="0" fontId="0" fillId="0" borderId="1" xfId="0" applyFont="1" applyBorder="1"/>
    <xf numFmtId="0" fontId="0" fillId="0" borderId="1" xfId="0" applyBorder="1" applyAlignment="1">
      <alignment vertical="top" wrapText="1"/>
    </xf>
    <xf numFmtId="0" fontId="0" fillId="0" borderId="0" xfId="0" applyFill="1" applyBorder="1"/>
    <xf numFmtId="0" fontId="0" fillId="0" borderId="6" xfId="0" applyFill="1" applyBorder="1"/>
    <xf numFmtId="0" fontId="5" fillId="0" borderId="0" xfId="0" applyFont="1"/>
    <xf numFmtId="0" fontId="0" fillId="0" borderId="0" xfId="0" applyAlignment="1">
      <alignment horizontal="center" vertical="center"/>
    </xf>
    <xf numFmtId="0" fontId="5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1"/>
  <sheetViews>
    <sheetView topLeftCell="A7" workbookViewId="0">
      <selection activeCell="I26" sqref="I26"/>
    </sheetView>
  </sheetViews>
  <sheetFormatPr defaultRowHeight="15" x14ac:dyDescent="0.25"/>
  <cols>
    <col min="1" max="1" width="3.140625" bestFit="1" customWidth="1"/>
    <col min="2" max="2" width="97.5703125" bestFit="1" customWidth="1"/>
  </cols>
  <sheetData>
    <row r="1" spans="1:3" x14ac:dyDescent="0.25">
      <c r="A1" s="2" t="s">
        <v>11</v>
      </c>
      <c r="B1" s="3" t="s">
        <v>12</v>
      </c>
      <c r="C1" s="2" t="s">
        <v>13</v>
      </c>
    </row>
    <row r="2" spans="1:3" x14ac:dyDescent="0.25">
      <c r="A2" s="4">
        <v>1</v>
      </c>
      <c r="B2" s="5" t="s">
        <v>14</v>
      </c>
      <c r="C2" s="6">
        <v>12413</v>
      </c>
    </row>
    <row r="3" spans="1:3" x14ac:dyDescent="0.25">
      <c r="A3" s="4"/>
      <c r="B3" s="7" t="s">
        <v>15</v>
      </c>
      <c r="C3" s="7"/>
    </row>
    <row r="4" spans="1:3" x14ac:dyDescent="0.25">
      <c r="A4" s="4"/>
      <c r="B4" s="7" t="s">
        <v>16</v>
      </c>
      <c r="C4" s="7"/>
    </row>
    <row r="5" spans="1:3" x14ac:dyDescent="0.25">
      <c r="A5" s="4"/>
      <c r="B5" s="7" t="s">
        <v>17</v>
      </c>
      <c r="C5" s="7"/>
    </row>
    <row r="6" spans="1:3" x14ac:dyDescent="0.25">
      <c r="A6" s="4"/>
      <c r="B6" s="7" t="s">
        <v>18</v>
      </c>
      <c r="C6" s="7"/>
    </row>
    <row r="7" spans="1:3" x14ac:dyDescent="0.25">
      <c r="A7" s="4">
        <v>2</v>
      </c>
      <c r="B7" s="5" t="s">
        <v>14</v>
      </c>
      <c r="C7" s="6">
        <v>3436</v>
      </c>
    </row>
    <row r="8" spans="1:3" x14ac:dyDescent="0.25">
      <c r="A8" s="4"/>
      <c r="B8" s="7" t="s">
        <v>19</v>
      </c>
      <c r="C8" s="5"/>
    </row>
    <row r="9" spans="1:3" x14ac:dyDescent="0.25">
      <c r="A9" s="4"/>
      <c r="B9" s="7" t="s">
        <v>20</v>
      </c>
      <c r="C9" s="5"/>
    </row>
    <row r="10" spans="1:3" x14ac:dyDescent="0.25">
      <c r="A10" s="4">
        <v>3</v>
      </c>
      <c r="B10" s="5" t="s">
        <v>60</v>
      </c>
      <c r="C10" s="6">
        <v>24587</v>
      </c>
    </row>
    <row r="11" spans="1:3" x14ac:dyDescent="0.25">
      <c r="A11" s="4">
        <v>4</v>
      </c>
      <c r="B11" s="5" t="s">
        <v>21</v>
      </c>
      <c r="C11" s="6">
        <v>7882</v>
      </c>
    </row>
    <row r="12" spans="1:3" x14ac:dyDescent="0.25">
      <c r="A12" s="4"/>
      <c r="B12" s="8" t="s">
        <v>22</v>
      </c>
      <c r="C12" s="7"/>
    </row>
    <row r="13" spans="1:3" x14ac:dyDescent="0.25">
      <c r="A13" s="4"/>
      <c r="B13" s="8" t="s">
        <v>23</v>
      </c>
      <c r="C13" s="7"/>
    </row>
    <row r="14" spans="1:3" x14ac:dyDescent="0.25">
      <c r="A14" s="4"/>
      <c r="B14" s="8" t="s">
        <v>24</v>
      </c>
      <c r="C14" s="7"/>
    </row>
    <row r="15" spans="1:3" x14ac:dyDescent="0.25">
      <c r="A15" s="4"/>
      <c r="B15" s="8" t="s">
        <v>25</v>
      </c>
      <c r="C15" s="7"/>
    </row>
    <row r="16" spans="1:3" x14ac:dyDescent="0.25">
      <c r="A16" s="4"/>
      <c r="B16" s="8" t="s">
        <v>26</v>
      </c>
      <c r="C16" s="7"/>
    </row>
    <row r="17" spans="1:4" x14ac:dyDescent="0.25">
      <c r="A17" s="4"/>
      <c r="B17" s="8" t="s">
        <v>27</v>
      </c>
      <c r="C17" s="7"/>
    </row>
    <row r="18" spans="1:4" x14ac:dyDescent="0.25">
      <c r="A18" s="4"/>
      <c r="B18" s="8" t="s">
        <v>28</v>
      </c>
      <c r="C18" s="7"/>
    </row>
    <row r="19" spans="1:4" x14ac:dyDescent="0.25">
      <c r="A19" s="4"/>
      <c r="B19" s="8" t="s">
        <v>29</v>
      </c>
      <c r="C19" s="7"/>
    </row>
    <row r="20" spans="1:4" x14ac:dyDescent="0.25">
      <c r="A20" s="7"/>
      <c r="B20" s="8" t="s">
        <v>30</v>
      </c>
      <c r="C20" s="7"/>
    </row>
    <row r="21" spans="1:4" x14ac:dyDescent="0.25">
      <c r="A21" s="7"/>
      <c r="B21" s="8" t="s">
        <v>31</v>
      </c>
      <c r="C21" s="7"/>
    </row>
    <row r="22" spans="1:4" x14ac:dyDescent="0.25">
      <c r="A22" s="7"/>
      <c r="B22" s="8" t="s">
        <v>32</v>
      </c>
      <c r="C22" s="7"/>
    </row>
    <row r="23" spans="1:4" x14ac:dyDescent="0.25">
      <c r="A23" s="7"/>
      <c r="B23" s="8" t="s">
        <v>33</v>
      </c>
      <c r="C23" s="7"/>
    </row>
    <row r="24" spans="1:4" x14ac:dyDescent="0.25">
      <c r="A24" s="7">
        <v>5</v>
      </c>
      <c r="B24" s="5" t="s">
        <v>34</v>
      </c>
      <c r="C24" s="6">
        <v>7000</v>
      </c>
      <c r="D24" s="10"/>
    </row>
    <row r="25" spans="1:4" x14ac:dyDescent="0.25">
      <c r="A25" s="7">
        <v>6</v>
      </c>
      <c r="B25" s="5" t="s">
        <v>35</v>
      </c>
      <c r="C25" s="6">
        <v>1000</v>
      </c>
      <c r="D25" s="10"/>
    </row>
    <row r="26" spans="1:4" x14ac:dyDescent="0.25">
      <c r="A26" s="7">
        <v>7</v>
      </c>
      <c r="B26" s="5" t="s">
        <v>36</v>
      </c>
      <c r="C26" s="6">
        <v>1280</v>
      </c>
      <c r="D26" s="11"/>
    </row>
    <row r="27" spans="1:4" x14ac:dyDescent="0.25">
      <c r="A27" s="7">
        <v>8</v>
      </c>
      <c r="B27" s="5" t="s">
        <v>37</v>
      </c>
      <c r="C27" s="6">
        <v>140</v>
      </c>
      <c r="D27" s="11"/>
    </row>
    <row r="28" spans="1:4" x14ac:dyDescent="0.25">
      <c r="A28" s="7"/>
      <c r="B28" s="5" t="s">
        <v>38</v>
      </c>
      <c r="C28" s="6">
        <v>2300</v>
      </c>
    </row>
    <row r="29" spans="1:4" x14ac:dyDescent="0.25">
      <c r="A29" s="7"/>
      <c r="B29" s="5" t="s">
        <v>39</v>
      </c>
      <c r="C29" s="6">
        <v>3000</v>
      </c>
    </row>
    <row r="30" spans="1:4" x14ac:dyDescent="0.25">
      <c r="A30" s="7"/>
      <c r="B30" s="7"/>
      <c r="C30" s="7"/>
    </row>
    <row r="31" spans="1:4" x14ac:dyDescent="0.25">
      <c r="A31" s="7"/>
      <c r="B31" s="7" t="s">
        <v>40</v>
      </c>
      <c r="C31" s="9">
        <f>SUM(C2:C30)</f>
        <v>63038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"/>
  <sheetViews>
    <sheetView workbookViewId="0">
      <selection activeCell="B24" sqref="B24"/>
    </sheetView>
  </sheetViews>
  <sheetFormatPr defaultRowHeight="15" x14ac:dyDescent="0.25"/>
  <cols>
    <col min="1" max="1" width="2" bestFit="1" customWidth="1"/>
    <col min="2" max="2" width="58.7109375" bestFit="1" customWidth="1"/>
  </cols>
  <sheetData>
    <row r="1" spans="1:3" x14ac:dyDescent="0.25">
      <c r="A1" s="7"/>
      <c r="B1" s="2" t="s">
        <v>59</v>
      </c>
      <c r="C1" s="7"/>
    </row>
    <row r="2" spans="1:3" x14ac:dyDescent="0.25">
      <c r="A2" s="4">
        <v>1</v>
      </c>
      <c r="B2" s="5" t="s">
        <v>41</v>
      </c>
      <c r="C2" s="6">
        <v>24780</v>
      </c>
    </row>
    <row r="3" spans="1:3" x14ac:dyDescent="0.25">
      <c r="A3" s="4">
        <v>2</v>
      </c>
      <c r="B3" s="5" t="s">
        <v>42</v>
      </c>
      <c r="C3" s="6">
        <v>3422</v>
      </c>
    </row>
    <row r="4" spans="1:3" x14ac:dyDescent="0.25">
      <c r="A4" s="4">
        <v>3</v>
      </c>
      <c r="B4" s="5" t="s">
        <v>43</v>
      </c>
      <c r="C4" s="6">
        <v>13012</v>
      </c>
    </row>
    <row r="5" spans="1:3" x14ac:dyDescent="0.25">
      <c r="A5" s="4"/>
      <c r="B5" s="7" t="s">
        <v>44</v>
      </c>
      <c r="C5" s="7"/>
    </row>
    <row r="6" spans="1:3" x14ac:dyDescent="0.25">
      <c r="A6" s="4"/>
      <c r="B6" s="7" t="s">
        <v>45</v>
      </c>
      <c r="C6" s="7"/>
    </row>
    <row r="7" spans="1:3" x14ac:dyDescent="0.25">
      <c r="A7" s="4"/>
      <c r="B7" s="7" t="s">
        <v>46</v>
      </c>
      <c r="C7" s="7"/>
    </row>
    <row r="8" spans="1:3" x14ac:dyDescent="0.25">
      <c r="A8" s="4"/>
      <c r="B8" s="7" t="s">
        <v>47</v>
      </c>
      <c r="C8" s="7"/>
    </row>
    <row r="9" spans="1:3" x14ac:dyDescent="0.25">
      <c r="A9" s="4"/>
      <c r="B9" s="7" t="s">
        <v>48</v>
      </c>
      <c r="C9" s="7"/>
    </row>
    <row r="10" spans="1:3" x14ac:dyDescent="0.25">
      <c r="A10" s="4"/>
      <c r="B10" s="7" t="s">
        <v>49</v>
      </c>
      <c r="C10" s="7"/>
    </row>
    <row r="11" spans="1:3" x14ac:dyDescent="0.25">
      <c r="A11" s="4"/>
      <c r="B11" s="7" t="s">
        <v>50</v>
      </c>
      <c r="C11" s="7"/>
    </row>
    <row r="12" spans="1:3" x14ac:dyDescent="0.25">
      <c r="A12" s="4"/>
      <c r="B12" s="7" t="s">
        <v>51</v>
      </c>
      <c r="C12" s="7"/>
    </row>
    <row r="13" spans="1:3" x14ac:dyDescent="0.25">
      <c r="A13" s="4"/>
      <c r="B13" s="7" t="s">
        <v>52</v>
      </c>
      <c r="C13" s="7"/>
    </row>
    <row r="14" spans="1:3" x14ac:dyDescent="0.25">
      <c r="A14" s="4"/>
      <c r="B14" s="7" t="s">
        <v>53</v>
      </c>
      <c r="C14" s="7"/>
    </row>
    <row r="15" spans="1:3" x14ac:dyDescent="0.25">
      <c r="A15" s="4"/>
      <c r="B15" s="7" t="s">
        <v>54</v>
      </c>
      <c r="C15" s="7"/>
    </row>
    <row r="16" spans="1:3" x14ac:dyDescent="0.25">
      <c r="A16" s="4"/>
      <c r="B16" s="7" t="s">
        <v>55</v>
      </c>
      <c r="C16" s="7"/>
    </row>
    <row r="17" spans="1:3" x14ac:dyDescent="0.25">
      <c r="A17" s="4"/>
      <c r="B17" s="7"/>
      <c r="C17" s="7"/>
    </row>
    <row r="18" spans="1:3" x14ac:dyDescent="0.25">
      <c r="A18" s="4">
        <v>4</v>
      </c>
      <c r="B18" s="5" t="s">
        <v>56</v>
      </c>
      <c r="C18" s="6">
        <v>11710</v>
      </c>
    </row>
    <row r="19" spans="1:3" x14ac:dyDescent="0.25">
      <c r="A19" s="4">
        <v>5</v>
      </c>
      <c r="B19" s="5" t="s">
        <v>57</v>
      </c>
      <c r="C19" s="6">
        <v>1390</v>
      </c>
    </row>
    <row r="20" spans="1:3" x14ac:dyDescent="0.25">
      <c r="A20" s="7"/>
      <c r="B20" s="7"/>
      <c r="C20" s="7"/>
    </row>
    <row r="21" spans="1:3" x14ac:dyDescent="0.25">
      <c r="A21" s="7"/>
      <c r="B21" s="7"/>
      <c r="C21" s="7"/>
    </row>
    <row r="22" spans="1:3" x14ac:dyDescent="0.25">
      <c r="A22" s="7"/>
      <c r="B22" s="7" t="s">
        <v>58</v>
      </c>
      <c r="C22" s="9">
        <f>SUM(C2:C21)</f>
        <v>54314</v>
      </c>
    </row>
    <row r="23" spans="1:3" x14ac:dyDescent="0.25">
      <c r="B23" s="25" t="s">
        <v>178</v>
      </c>
      <c r="C23">
        <v>15000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6"/>
  <sheetViews>
    <sheetView topLeftCell="A22" workbookViewId="0">
      <selection activeCell="J26" sqref="J26"/>
    </sheetView>
  </sheetViews>
  <sheetFormatPr defaultRowHeight="15" x14ac:dyDescent="0.25"/>
  <cols>
    <col min="2" max="2" width="85.140625" bestFit="1" customWidth="1"/>
  </cols>
  <sheetData>
    <row r="1" spans="1:5" ht="18.75" x14ac:dyDescent="0.3">
      <c r="A1" s="15"/>
      <c r="B1" s="16" t="s">
        <v>69</v>
      </c>
      <c r="C1" s="17"/>
    </row>
    <row r="2" spans="1:5" x14ac:dyDescent="0.25">
      <c r="A2" s="7"/>
      <c r="B2" s="7"/>
      <c r="C2" s="7"/>
    </row>
    <row r="3" spans="1:5" x14ac:dyDescent="0.25">
      <c r="A3" s="7" t="s">
        <v>116</v>
      </c>
      <c r="B3" s="7" t="s">
        <v>117</v>
      </c>
      <c r="C3" s="22">
        <v>9000</v>
      </c>
    </row>
    <row r="4" spans="1:5" x14ac:dyDescent="0.25">
      <c r="A4" s="7" t="s">
        <v>85</v>
      </c>
      <c r="B4" s="7" t="s">
        <v>117</v>
      </c>
      <c r="C4" s="22">
        <v>6000</v>
      </c>
    </row>
    <row r="5" spans="1:5" x14ac:dyDescent="0.25">
      <c r="A5" s="7" t="s">
        <v>85</v>
      </c>
      <c r="B5" s="19" t="s">
        <v>84</v>
      </c>
      <c r="C5" s="7">
        <v>42469</v>
      </c>
      <c r="E5" s="10" t="s">
        <v>86</v>
      </c>
    </row>
    <row r="6" spans="1:5" x14ac:dyDescent="0.25">
      <c r="A6" s="7" t="s">
        <v>118</v>
      </c>
      <c r="B6" s="7" t="s">
        <v>117</v>
      </c>
      <c r="C6" s="7">
        <v>6500</v>
      </c>
      <c r="E6" s="10"/>
    </row>
    <row r="7" spans="1:5" x14ac:dyDescent="0.25">
      <c r="A7" s="7" t="s">
        <v>119</v>
      </c>
      <c r="B7" s="7" t="s">
        <v>120</v>
      </c>
      <c r="C7" s="7">
        <v>6500</v>
      </c>
      <c r="E7" s="10"/>
    </row>
    <row r="8" spans="1:5" x14ac:dyDescent="0.25">
      <c r="A8" s="7" t="s">
        <v>89</v>
      </c>
      <c r="B8" s="13" t="s">
        <v>87</v>
      </c>
      <c r="C8" s="13">
        <v>18000</v>
      </c>
      <c r="E8" s="24" t="s">
        <v>88</v>
      </c>
    </row>
    <row r="9" spans="1:5" x14ac:dyDescent="0.25">
      <c r="A9" s="7" t="s">
        <v>121</v>
      </c>
      <c r="B9" s="7" t="s">
        <v>122</v>
      </c>
      <c r="C9" s="13">
        <v>3000</v>
      </c>
      <c r="E9" s="24"/>
    </row>
    <row r="10" spans="1:5" x14ac:dyDescent="0.25">
      <c r="A10" s="7" t="s">
        <v>123</v>
      </c>
      <c r="B10" s="7" t="s">
        <v>124</v>
      </c>
      <c r="C10" s="13">
        <v>2500</v>
      </c>
      <c r="E10" s="24"/>
    </row>
    <row r="11" spans="1:5" x14ac:dyDescent="0.25">
      <c r="A11" s="7"/>
      <c r="B11" s="7"/>
      <c r="C11" s="13"/>
      <c r="E11" s="24"/>
    </row>
    <row r="12" spans="1:5" x14ac:dyDescent="0.25">
      <c r="A12" s="7" t="s">
        <v>101</v>
      </c>
      <c r="B12" s="7" t="s">
        <v>99</v>
      </c>
      <c r="C12" s="13">
        <v>20000</v>
      </c>
      <c r="E12" s="24" t="s">
        <v>100</v>
      </c>
    </row>
    <row r="13" spans="1:5" x14ac:dyDescent="0.25">
      <c r="A13" s="7" t="s">
        <v>104</v>
      </c>
      <c r="B13" s="7" t="s">
        <v>105</v>
      </c>
      <c r="C13" s="13">
        <v>7552</v>
      </c>
      <c r="E13" s="24" t="s">
        <v>106</v>
      </c>
    </row>
    <row r="14" spans="1:5" x14ac:dyDescent="0.25">
      <c r="A14" s="7" t="s">
        <v>104</v>
      </c>
      <c r="B14" s="7" t="s">
        <v>107</v>
      </c>
      <c r="C14" s="13">
        <v>7542</v>
      </c>
      <c r="E14" s="24" t="s">
        <v>100</v>
      </c>
    </row>
    <row r="15" spans="1:5" x14ac:dyDescent="0.25">
      <c r="A15" s="7" t="s">
        <v>108</v>
      </c>
      <c r="B15" s="7" t="s">
        <v>109</v>
      </c>
      <c r="C15" s="13">
        <v>2256</v>
      </c>
      <c r="E15" s="24" t="s">
        <v>100</v>
      </c>
    </row>
    <row r="16" spans="1:5" x14ac:dyDescent="0.25">
      <c r="A16" s="7" t="s">
        <v>111</v>
      </c>
      <c r="B16" s="7" t="s">
        <v>110</v>
      </c>
      <c r="C16" s="13">
        <v>6340</v>
      </c>
      <c r="E16" s="24" t="s">
        <v>100</v>
      </c>
    </row>
    <row r="17" spans="1:5" x14ac:dyDescent="0.25">
      <c r="A17" s="7" t="s">
        <v>108</v>
      </c>
      <c r="B17" s="7" t="s">
        <v>164</v>
      </c>
      <c r="C17" s="13">
        <v>130</v>
      </c>
      <c r="E17" s="24"/>
    </row>
    <row r="18" spans="1:5" x14ac:dyDescent="0.25">
      <c r="A18" s="7" t="s">
        <v>162</v>
      </c>
      <c r="B18" s="7" t="s">
        <v>163</v>
      </c>
      <c r="C18" s="13">
        <v>5000</v>
      </c>
      <c r="E18" s="24"/>
    </row>
    <row r="19" spans="1:5" x14ac:dyDescent="0.25">
      <c r="A19" s="7" t="s">
        <v>166</v>
      </c>
      <c r="B19" s="7" t="s">
        <v>165</v>
      </c>
      <c r="C19" s="13">
        <v>286</v>
      </c>
      <c r="E19" s="24" t="s">
        <v>167</v>
      </c>
    </row>
    <row r="20" spans="1:5" ht="15.75" customHeight="1" x14ac:dyDescent="0.25">
      <c r="A20" s="7" t="s">
        <v>168</v>
      </c>
      <c r="B20" s="23" t="s">
        <v>169</v>
      </c>
      <c r="C20" s="13">
        <v>700</v>
      </c>
      <c r="E20" s="24" t="s">
        <v>167</v>
      </c>
    </row>
    <row r="21" spans="1:5" x14ac:dyDescent="0.25">
      <c r="A21" s="7" t="s">
        <v>112</v>
      </c>
      <c r="B21" s="7" t="s">
        <v>113</v>
      </c>
      <c r="C21" s="13">
        <v>1900</v>
      </c>
      <c r="E21" s="24" t="s">
        <v>106</v>
      </c>
    </row>
    <row r="22" spans="1:5" x14ac:dyDescent="0.25">
      <c r="A22" s="7" t="s">
        <v>114</v>
      </c>
      <c r="B22" s="7" t="s">
        <v>115</v>
      </c>
      <c r="C22" s="13">
        <v>1260</v>
      </c>
      <c r="E22" s="24" t="s">
        <v>106</v>
      </c>
    </row>
    <row r="23" spans="1:5" x14ac:dyDescent="0.25">
      <c r="A23" s="7" t="s">
        <v>170</v>
      </c>
      <c r="B23" s="7" t="s">
        <v>171</v>
      </c>
      <c r="C23" s="7">
        <v>2972</v>
      </c>
    </row>
    <row r="24" spans="1:5" ht="15.75" customHeight="1" x14ac:dyDescent="0.25">
      <c r="A24" s="7"/>
      <c r="B24" s="23"/>
      <c r="C24" s="14"/>
      <c r="E24" s="24"/>
    </row>
    <row r="25" spans="1:5" x14ac:dyDescent="0.25">
      <c r="A25" s="7" t="s">
        <v>62</v>
      </c>
      <c r="B25" s="7" t="s">
        <v>61</v>
      </c>
      <c r="C25" s="14">
        <v>36764</v>
      </c>
    </row>
    <row r="26" spans="1:5" x14ac:dyDescent="0.25">
      <c r="A26" s="7" t="s">
        <v>68</v>
      </c>
      <c r="B26" s="7" t="s">
        <v>63</v>
      </c>
      <c r="C26" s="13">
        <v>3640</v>
      </c>
    </row>
    <row r="27" spans="1:5" x14ac:dyDescent="0.25">
      <c r="A27" s="7" t="s">
        <v>67</v>
      </c>
      <c r="B27" s="7" t="s">
        <v>64</v>
      </c>
      <c r="C27" s="13">
        <v>10530</v>
      </c>
    </row>
    <row r="28" spans="1:5" x14ac:dyDescent="0.25">
      <c r="A28" s="7" t="s">
        <v>66</v>
      </c>
      <c r="B28" s="7" t="s">
        <v>65</v>
      </c>
      <c r="C28" s="13">
        <v>5940</v>
      </c>
    </row>
    <row r="29" spans="1:5" x14ac:dyDescent="0.25">
      <c r="A29" s="7" t="s">
        <v>70</v>
      </c>
      <c r="B29" s="12" t="s">
        <v>71</v>
      </c>
      <c r="C29" s="12">
        <v>1530</v>
      </c>
    </row>
    <row r="30" spans="1:5" x14ac:dyDescent="0.25">
      <c r="A30" s="7" t="s">
        <v>72</v>
      </c>
      <c r="B30" s="7" t="s">
        <v>73</v>
      </c>
      <c r="C30" s="7">
        <v>4500</v>
      </c>
    </row>
    <row r="31" spans="1:5" x14ac:dyDescent="0.25">
      <c r="A31" s="7" t="s">
        <v>72</v>
      </c>
      <c r="B31" s="7" t="s">
        <v>74</v>
      </c>
      <c r="C31" s="7">
        <v>4500</v>
      </c>
    </row>
    <row r="32" spans="1:5" x14ac:dyDescent="0.25">
      <c r="A32" s="7" t="s">
        <v>75</v>
      </c>
      <c r="B32" s="12" t="s">
        <v>76</v>
      </c>
      <c r="C32" s="7">
        <v>4040</v>
      </c>
    </row>
    <row r="33" spans="1:3" x14ac:dyDescent="0.25">
      <c r="A33" s="7" t="s">
        <v>77</v>
      </c>
      <c r="B33" s="7" t="s">
        <v>78</v>
      </c>
      <c r="C33" s="7">
        <v>1900</v>
      </c>
    </row>
    <row r="34" spans="1:3" x14ac:dyDescent="0.25">
      <c r="A34" s="7" t="s">
        <v>80</v>
      </c>
      <c r="B34" s="7" t="s">
        <v>79</v>
      </c>
      <c r="C34" s="7">
        <v>1000</v>
      </c>
    </row>
    <row r="35" spans="1:3" x14ac:dyDescent="0.25">
      <c r="A35" s="12" t="s">
        <v>83</v>
      </c>
      <c r="B35" s="18" t="s">
        <v>81</v>
      </c>
      <c r="C35" s="7">
        <v>1643</v>
      </c>
    </row>
    <row r="36" spans="1:3" x14ac:dyDescent="0.25">
      <c r="A36" s="12" t="s">
        <v>83</v>
      </c>
      <c r="B36" s="18" t="s">
        <v>82</v>
      </c>
      <c r="C36" s="7">
        <v>1198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Views>
    <sheetView workbookViewId="0">
      <selection activeCell="I15" sqref="I15"/>
    </sheetView>
  </sheetViews>
  <sheetFormatPr defaultRowHeight="15" x14ac:dyDescent="0.25"/>
  <cols>
    <col min="2" max="2" width="67.5703125" bestFit="1" customWidth="1"/>
  </cols>
  <sheetData>
    <row r="1" spans="1:5" x14ac:dyDescent="0.25">
      <c r="A1" s="21" t="s">
        <v>172</v>
      </c>
      <c r="B1" s="21" t="s">
        <v>173</v>
      </c>
      <c r="C1" s="21" t="s">
        <v>13</v>
      </c>
    </row>
    <row r="2" spans="1:5" x14ac:dyDescent="0.25">
      <c r="A2" s="13" t="s">
        <v>92</v>
      </c>
      <c r="B2" s="7" t="s">
        <v>90</v>
      </c>
      <c r="C2" s="13">
        <v>10000</v>
      </c>
      <c r="E2" s="24" t="s">
        <v>91</v>
      </c>
    </row>
    <row r="3" spans="1:5" x14ac:dyDescent="0.25">
      <c r="A3" s="13" t="s">
        <v>92</v>
      </c>
      <c r="B3" s="13" t="s">
        <v>93</v>
      </c>
      <c r="C3" s="13">
        <v>8100</v>
      </c>
      <c r="E3" s="24" t="s">
        <v>106</v>
      </c>
    </row>
    <row r="4" spans="1:5" x14ac:dyDescent="0.25">
      <c r="A4" s="7" t="s">
        <v>96</v>
      </c>
      <c r="B4" s="13" t="s">
        <v>94</v>
      </c>
      <c r="C4" s="13">
        <v>18030</v>
      </c>
      <c r="E4" s="24" t="s">
        <v>95</v>
      </c>
    </row>
    <row r="5" spans="1:5" x14ac:dyDescent="0.25">
      <c r="A5" s="7" t="s">
        <v>98</v>
      </c>
      <c r="B5" s="7" t="s">
        <v>97</v>
      </c>
      <c r="C5" s="13">
        <v>40657</v>
      </c>
      <c r="E5" s="24" t="s">
        <v>95</v>
      </c>
    </row>
    <row r="8" spans="1:5" x14ac:dyDescent="0.25">
      <c r="A8" s="7"/>
      <c r="B8" s="2" t="s">
        <v>175</v>
      </c>
      <c r="C8" s="7"/>
    </row>
    <row r="9" spans="1:5" x14ac:dyDescent="0.25">
      <c r="A9" t="s">
        <v>176</v>
      </c>
      <c r="B9" t="s">
        <v>177</v>
      </c>
      <c r="C9">
        <v>52575</v>
      </c>
      <c r="D9" t="s">
        <v>181</v>
      </c>
    </row>
    <row r="10" spans="1:5" x14ac:dyDescent="0.25">
      <c r="A10" t="s">
        <v>179</v>
      </c>
      <c r="B10" t="s">
        <v>180</v>
      </c>
      <c r="C10">
        <v>70980</v>
      </c>
      <c r="D10" t="s">
        <v>181</v>
      </c>
    </row>
    <row r="11" spans="1:5" x14ac:dyDescent="0.25">
      <c r="A11" t="s">
        <v>183</v>
      </c>
      <c r="B11" t="s">
        <v>182</v>
      </c>
      <c r="C11">
        <v>80000</v>
      </c>
      <c r="D11" t="s">
        <v>181</v>
      </c>
    </row>
    <row r="12" spans="1:5" x14ac:dyDescent="0.25">
      <c r="B12" t="s">
        <v>184</v>
      </c>
      <c r="C12">
        <v>20150</v>
      </c>
      <c r="D12" t="s">
        <v>181</v>
      </c>
    </row>
    <row r="13" spans="1:5" x14ac:dyDescent="0.25">
      <c r="B13" t="s">
        <v>185</v>
      </c>
      <c r="C13" s="1">
        <f>SUM(C9:C12)</f>
        <v>223705</v>
      </c>
    </row>
    <row r="15" spans="1:5" x14ac:dyDescent="0.25">
      <c r="A15" t="s">
        <v>188</v>
      </c>
      <c r="B15" t="s">
        <v>186</v>
      </c>
      <c r="C15" s="26">
        <v>265</v>
      </c>
      <c r="D15" t="s">
        <v>190</v>
      </c>
    </row>
    <row r="16" spans="1:5" x14ac:dyDescent="0.25">
      <c r="A16" t="s">
        <v>189</v>
      </c>
      <c r="B16" t="s">
        <v>187</v>
      </c>
      <c r="C16" s="26">
        <v>170</v>
      </c>
      <c r="D16" t="s">
        <v>190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Views>
    <sheetView tabSelected="1" topLeftCell="A22" workbookViewId="0">
      <selection activeCell="H38" sqref="G38:H38"/>
    </sheetView>
  </sheetViews>
  <sheetFormatPr defaultRowHeight="15" x14ac:dyDescent="0.25"/>
  <cols>
    <col min="2" max="2" width="73" customWidth="1"/>
  </cols>
  <sheetData>
    <row r="1" spans="1:7" x14ac:dyDescent="0.25">
      <c r="A1" s="21" t="s">
        <v>172</v>
      </c>
      <c r="B1" s="21" t="s">
        <v>174</v>
      </c>
      <c r="C1" s="21" t="s">
        <v>13</v>
      </c>
    </row>
    <row r="2" spans="1:7" x14ac:dyDescent="0.25">
      <c r="A2" s="7" t="s">
        <v>125</v>
      </c>
      <c r="B2" s="7" t="s">
        <v>126</v>
      </c>
      <c r="C2" s="22">
        <v>6000</v>
      </c>
    </row>
    <row r="3" spans="1:7" x14ac:dyDescent="0.25">
      <c r="A3" s="7" t="s">
        <v>127</v>
      </c>
      <c r="B3" s="7" t="s">
        <v>128</v>
      </c>
      <c r="C3" s="22">
        <v>6000</v>
      </c>
    </row>
    <row r="4" spans="1:7" x14ac:dyDescent="0.25">
      <c r="A4" s="7" t="s">
        <v>129</v>
      </c>
      <c r="B4" s="7" t="s">
        <v>130</v>
      </c>
      <c r="C4" s="22">
        <v>6000</v>
      </c>
    </row>
    <row r="5" spans="1:7" x14ac:dyDescent="0.25">
      <c r="A5" s="7" t="s">
        <v>131</v>
      </c>
      <c r="B5" s="7" t="s">
        <v>132</v>
      </c>
      <c r="C5" s="22">
        <v>6000</v>
      </c>
    </row>
    <row r="6" spans="1:7" x14ac:dyDescent="0.25">
      <c r="A6" s="7" t="s">
        <v>133</v>
      </c>
      <c r="B6" s="7" t="s">
        <v>134</v>
      </c>
      <c r="C6" s="22">
        <v>6000</v>
      </c>
    </row>
    <row r="7" spans="1:7" x14ac:dyDescent="0.25">
      <c r="A7" s="7" t="s">
        <v>135</v>
      </c>
      <c r="B7" s="7" t="s">
        <v>136</v>
      </c>
      <c r="C7" s="22">
        <v>525</v>
      </c>
    </row>
    <row r="8" spans="1:7" x14ac:dyDescent="0.25">
      <c r="A8" s="7" t="s">
        <v>137</v>
      </c>
      <c r="B8" s="7" t="s">
        <v>138</v>
      </c>
      <c r="C8" s="7">
        <v>9820</v>
      </c>
      <c r="G8" s="20"/>
    </row>
    <row r="9" spans="1:7" x14ac:dyDescent="0.25">
      <c r="A9" s="7" t="s">
        <v>102</v>
      </c>
      <c r="B9" s="7" t="s">
        <v>103</v>
      </c>
      <c r="C9" s="13">
        <v>11411</v>
      </c>
      <c r="E9" s="24"/>
    </row>
    <row r="10" spans="1:7" x14ac:dyDescent="0.25">
      <c r="A10" s="7" t="s">
        <v>139</v>
      </c>
      <c r="B10" s="7" t="s">
        <v>140</v>
      </c>
      <c r="C10" s="22">
        <v>4271</v>
      </c>
    </row>
    <row r="11" spans="1:7" x14ac:dyDescent="0.25">
      <c r="A11" s="7" t="s">
        <v>139</v>
      </c>
      <c r="B11" s="7" t="s">
        <v>141</v>
      </c>
      <c r="C11" s="22">
        <v>3040</v>
      </c>
    </row>
    <row r="12" spans="1:7" x14ac:dyDescent="0.25">
      <c r="A12" s="7" t="s">
        <v>139</v>
      </c>
      <c r="B12" s="7" t="s">
        <v>142</v>
      </c>
      <c r="C12" s="22">
        <v>1400</v>
      </c>
    </row>
    <row r="13" spans="1:7" x14ac:dyDescent="0.25">
      <c r="A13" s="7" t="s">
        <v>139</v>
      </c>
      <c r="B13" s="7" t="s">
        <v>143</v>
      </c>
      <c r="C13" s="22">
        <v>1740</v>
      </c>
    </row>
    <row r="14" spans="1:7" x14ac:dyDescent="0.25">
      <c r="A14" s="7" t="s">
        <v>144</v>
      </c>
      <c r="B14" s="7" t="s">
        <v>145</v>
      </c>
      <c r="C14" s="7">
        <v>10000</v>
      </c>
    </row>
    <row r="15" spans="1:7" x14ac:dyDescent="0.25">
      <c r="A15" s="7" t="s">
        <v>146</v>
      </c>
      <c r="B15" s="7" t="s">
        <v>147</v>
      </c>
      <c r="C15" s="7">
        <v>1385</v>
      </c>
    </row>
    <row r="16" spans="1:7" x14ac:dyDescent="0.25">
      <c r="A16" s="7" t="s">
        <v>148</v>
      </c>
      <c r="B16" s="7" t="s">
        <v>149</v>
      </c>
      <c r="C16" s="7">
        <v>1742</v>
      </c>
    </row>
    <row r="17" spans="1:3" x14ac:dyDescent="0.25">
      <c r="A17" s="7" t="s">
        <v>150</v>
      </c>
      <c r="B17" s="7" t="s">
        <v>149</v>
      </c>
      <c r="C17" s="7">
        <v>1088</v>
      </c>
    </row>
    <row r="18" spans="1:3" x14ac:dyDescent="0.25">
      <c r="A18" s="7" t="s">
        <v>104</v>
      </c>
      <c r="B18" s="7" t="s">
        <v>151</v>
      </c>
      <c r="C18" s="7">
        <v>240</v>
      </c>
    </row>
    <row r="19" spans="1:3" x14ac:dyDescent="0.25">
      <c r="A19" s="7" t="s">
        <v>152</v>
      </c>
      <c r="B19" s="7" t="s">
        <v>153</v>
      </c>
      <c r="C19" s="7">
        <v>60</v>
      </c>
    </row>
    <row r="20" spans="1:3" x14ac:dyDescent="0.25">
      <c r="A20" s="7" t="s">
        <v>154</v>
      </c>
      <c r="B20" s="7" t="s">
        <v>155</v>
      </c>
      <c r="C20" s="7">
        <v>336</v>
      </c>
    </row>
    <row r="21" spans="1:3" x14ac:dyDescent="0.25">
      <c r="A21" s="7" t="s">
        <v>156</v>
      </c>
      <c r="B21" s="7" t="s">
        <v>157</v>
      </c>
      <c r="C21" s="7">
        <v>10000</v>
      </c>
    </row>
    <row r="22" spans="1:3" x14ac:dyDescent="0.25">
      <c r="A22" s="7" t="s">
        <v>158</v>
      </c>
      <c r="B22" s="7" t="s">
        <v>159</v>
      </c>
      <c r="C22" s="7">
        <v>10000</v>
      </c>
    </row>
    <row r="23" spans="1:3" x14ac:dyDescent="0.25">
      <c r="A23" s="7" t="s">
        <v>160</v>
      </c>
      <c r="B23" s="7" t="s">
        <v>161</v>
      </c>
      <c r="C23" s="7">
        <v>9800</v>
      </c>
    </row>
    <row r="24" spans="1:3" x14ac:dyDescent="0.25">
      <c r="A24" s="10"/>
      <c r="B24" s="10"/>
      <c r="C24" s="10"/>
    </row>
    <row r="26" spans="1:3" x14ac:dyDescent="0.25">
      <c r="A26" s="21" t="s">
        <v>172</v>
      </c>
      <c r="B26" s="21" t="s">
        <v>193</v>
      </c>
      <c r="C26" s="21" t="s">
        <v>13</v>
      </c>
    </row>
    <row r="28" spans="1:3" x14ac:dyDescent="0.25">
      <c r="A28" s="7" t="s">
        <v>192</v>
      </c>
      <c r="B28" s="7" t="s">
        <v>191</v>
      </c>
      <c r="C28" s="13">
        <v>10950</v>
      </c>
    </row>
    <row r="29" spans="1:3" x14ac:dyDescent="0.25">
      <c r="A29" s="7" t="s">
        <v>194</v>
      </c>
      <c r="B29" s="7" t="s">
        <v>195</v>
      </c>
      <c r="C29" s="7">
        <v>6000</v>
      </c>
    </row>
    <row r="30" spans="1:3" x14ac:dyDescent="0.25">
      <c r="A30" s="7" t="s">
        <v>197</v>
      </c>
      <c r="B30" s="7" t="s">
        <v>196</v>
      </c>
      <c r="C30" s="7">
        <v>1600</v>
      </c>
    </row>
    <row r="31" spans="1:3" x14ac:dyDescent="0.25">
      <c r="A31" s="7" t="s">
        <v>198</v>
      </c>
      <c r="B31" s="7" t="s">
        <v>199</v>
      </c>
      <c r="C31" s="7">
        <v>400</v>
      </c>
    </row>
    <row r="32" spans="1:3" x14ac:dyDescent="0.25">
      <c r="A32" s="7" t="s">
        <v>200</v>
      </c>
      <c r="B32" s="7" t="s">
        <v>201</v>
      </c>
      <c r="C32" s="7">
        <v>400</v>
      </c>
    </row>
    <row r="33" spans="1:3" x14ac:dyDescent="0.25">
      <c r="A33" s="7"/>
      <c r="B33" s="7"/>
      <c r="C33" s="7"/>
    </row>
    <row r="34" spans="1:3" x14ac:dyDescent="0.25">
      <c r="A34" s="7" t="s">
        <v>202</v>
      </c>
      <c r="B34" s="7" t="s">
        <v>203</v>
      </c>
      <c r="C34" s="7">
        <v>5000</v>
      </c>
    </row>
    <row r="35" spans="1:3" x14ac:dyDescent="0.25">
      <c r="A35" s="7" t="s">
        <v>202</v>
      </c>
      <c r="B35" s="7" t="s">
        <v>204</v>
      </c>
      <c r="C35" s="7">
        <v>5000</v>
      </c>
    </row>
    <row r="36" spans="1:3" x14ac:dyDescent="0.25">
      <c r="A36" s="7" t="s">
        <v>202</v>
      </c>
      <c r="B36" s="7" t="s">
        <v>205</v>
      </c>
      <c r="C36" s="7">
        <v>5000</v>
      </c>
    </row>
    <row r="37" spans="1:3" x14ac:dyDescent="0.25">
      <c r="A37" s="7" t="s">
        <v>206</v>
      </c>
      <c r="B37" s="7" t="s">
        <v>207</v>
      </c>
      <c r="C37" s="7">
        <v>9000</v>
      </c>
    </row>
    <row r="38" spans="1:3" x14ac:dyDescent="0.25">
      <c r="A38" s="7" t="s">
        <v>206</v>
      </c>
      <c r="B38" s="7" t="s">
        <v>208</v>
      </c>
      <c r="C38" s="7">
        <v>3000</v>
      </c>
    </row>
    <row r="39" spans="1:3" x14ac:dyDescent="0.25">
      <c r="A39" s="7" t="s">
        <v>209</v>
      </c>
      <c r="B39" s="7" t="s">
        <v>210</v>
      </c>
      <c r="C39" s="7">
        <v>25000</v>
      </c>
    </row>
    <row r="40" spans="1:3" x14ac:dyDescent="0.25">
      <c r="A40" s="7" t="s">
        <v>212</v>
      </c>
      <c r="B40" s="7" t="s">
        <v>211</v>
      </c>
      <c r="C40" s="13">
        <v>6670</v>
      </c>
    </row>
    <row r="41" spans="1:3" x14ac:dyDescent="0.25">
      <c r="A41" s="7" t="s">
        <v>213</v>
      </c>
      <c r="B41" s="7" t="s">
        <v>214</v>
      </c>
      <c r="C41" s="13">
        <v>3000</v>
      </c>
    </row>
    <row r="42" spans="1:3" x14ac:dyDescent="0.25">
      <c r="A42" s="7" t="s">
        <v>215</v>
      </c>
      <c r="B42" s="7" t="s">
        <v>216</v>
      </c>
      <c r="C42" s="28">
        <v>300</v>
      </c>
    </row>
    <row r="43" spans="1:3" x14ac:dyDescent="0.25">
      <c r="A43" s="7"/>
      <c r="B43" s="7"/>
      <c r="C43" s="7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"/>
  <sheetViews>
    <sheetView workbookViewId="0">
      <selection activeCell="K17" sqref="K17"/>
    </sheetView>
  </sheetViews>
  <sheetFormatPr defaultRowHeight="15" x14ac:dyDescent="0.25"/>
  <cols>
    <col min="1" max="1" width="6.5703125" customWidth="1"/>
    <col min="3" max="3" width="19.85546875" customWidth="1"/>
    <col min="4" max="4" width="24.5703125" customWidth="1"/>
    <col min="5" max="5" width="35.42578125" customWidth="1"/>
    <col min="6" max="7" width="7.5703125" customWidth="1"/>
    <col min="9" max="9" width="15.85546875" bestFit="1" customWidth="1"/>
  </cols>
  <sheetData>
    <row r="1" spans="1:9" x14ac:dyDescent="0.25">
      <c r="A1" s="1" t="s">
        <v>0</v>
      </c>
      <c r="B1" s="1" t="s">
        <v>2</v>
      </c>
      <c r="C1" s="1" t="s">
        <v>3</v>
      </c>
      <c r="D1" s="1" t="s">
        <v>1</v>
      </c>
      <c r="E1" s="1" t="s">
        <v>5</v>
      </c>
      <c r="F1" s="1" t="s">
        <v>8</v>
      </c>
      <c r="G1" s="1" t="s">
        <v>9</v>
      </c>
      <c r="H1" s="1" t="s">
        <v>10</v>
      </c>
      <c r="I1" s="1" t="s">
        <v>7</v>
      </c>
    </row>
    <row r="2" spans="1:9" x14ac:dyDescent="0.25">
      <c r="C2" s="27" t="s">
        <v>6</v>
      </c>
      <c r="D2" s="27" t="s">
        <v>4</v>
      </c>
      <c r="I2">
        <f>SUM(H2:H16)</f>
        <v>0</v>
      </c>
    </row>
    <row r="3" spans="1:9" x14ac:dyDescent="0.25">
      <c r="C3" s="27"/>
      <c r="D3" s="27"/>
    </row>
    <row r="4" spans="1:9" x14ac:dyDescent="0.25">
      <c r="C4" s="27"/>
      <c r="D4" s="27"/>
    </row>
    <row r="5" spans="1:9" x14ac:dyDescent="0.25">
      <c r="C5" s="27"/>
      <c r="D5" s="27"/>
    </row>
    <row r="6" spans="1:9" x14ac:dyDescent="0.25">
      <c r="C6" s="27"/>
      <c r="D6" s="27"/>
    </row>
    <row r="7" spans="1:9" x14ac:dyDescent="0.25">
      <c r="C7" s="27"/>
      <c r="D7" s="27"/>
    </row>
    <row r="8" spans="1:9" x14ac:dyDescent="0.25">
      <c r="C8" s="27"/>
      <c r="D8" s="27"/>
    </row>
    <row r="9" spans="1:9" x14ac:dyDescent="0.25">
      <c r="C9" s="27"/>
      <c r="D9" s="27"/>
    </row>
    <row r="10" spans="1:9" x14ac:dyDescent="0.25">
      <c r="C10" s="27"/>
      <c r="D10" s="27"/>
    </row>
    <row r="11" spans="1:9" x14ac:dyDescent="0.25">
      <c r="C11" s="27"/>
      <c r="D11" s="27"/>
    </row>
    <row r="12" spans="1:9" x14ac:dyDescent="0.25">
      <c r="C12" s="27"/>
      <c r="D12" s="27"/>
    </row>
    <row r="13" spans="1:9" x14ac:dyDescent="0.25">
      <c r="C13" s="27"/>
      <c r="D13" s="27"/>
    </row>
    <row r="14" spans="1:9" x14ac:dyDescent="0.25">
      <c r="C14" s="27"/>
      <c r="D14" s="27"/>
    </row>
    <row r="15" spans="1:9" x14ac:dyDescent="0.25">
      <c r="C15" s="27"/>
      <c r="D15" s="27"/>
    </row>
    <row r="16" spans="1:9" x14ac:dyDescent="0.25">
      <c r="C16" s="27"/>
      <c r="D16" s="27"/>
    </row>
  </sheetData>
  <mergeCells count="2">
    <mergeCell ref="D2:D16"/>
    <mergeCell ref="C2:C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RVC stall cupboard 2024-25 </vt:lpstr>
      <vt:lpstr>AMSD Table Loft Cu &amp; Lotus Feet</vt:lpstr>
      <vt:lpstr>SSGN Stall 2024-25</vt:lpstr>
      <vt:lpstr>Loft</vt:lpstr>
      <vt:lpstr>JD Godown</vt:lpstr>
      <vt:lpstr>Other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Amiya Madhusudan Das</dc:creator>
  <cp:lastModifiedBy>jivdaya</cp:lastModifiedBy>
  <dcterms:created xsi:type="dcterms:W3CDTF">2015-06-05T18:17:20Z</dcterms:created>
  <dcterms:modified xsi:type="dcterms:W3CDTF">2026-02-16T13:43:23Z</dcterms:modified>
</cp:coreProperties>
</file>